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hidePivotFieldList="1" defaultThemeVersion="124226"/>
  <bookViews>
    <workbookView xWindow="120" yWindow="75" windowWidth="20115" windowHeight="7755" tabRatio="643"/>
  </bookViews>
  <sheets>
    <sheet name="Dashboard" sheetId="19" r:id="rId1"/>
    <sheet name="Calculation" sheetId="13" state="hidden" r:id="rId2"/>
    <sheet name="EnterNewProduct" sheetId="5" r:id="rId3"/>
    <sheet name="PurchaseEntry" sheetId="9" r:id="rId4"/>
    <sheet name="SalesEntry" sheetId="10" r:id="rId5"/>
    <sheet name="Inventory" sheetId="4" r:id="rId6"/>
    <sheet name="Purchase" sheetId="3" r:id="rId7"/>
    <sheet name="Sales" sheetId="2" r:id="rId8"/>
  </sheets>
  <definedNames>
    <definedName name="Category">SalesEntry!$E$10</definedName>
    <definedName name="Customer">SalesEntry!$E$6</definedName>
    <definedName name="Date">SalesEntry!$E$5</definedName>
    <definedName name="Description">SalesEntry!$E$9</definedName>
    <definedName name="ProductID">SalesEntry!$E$7</definedName>
    <definedName name="ProductName">SalesEntry!$E$8</definedName>
    <definedName name="QuantitySold">SalesEntry!$E$11</definedName>
    <definedName name="SellingPrice">SalesEntry!$E$12</definedName>
    <definedName name="SrNumber">SalesEntry!$E$4</definedName>
    <definedName name="TotalAmount">SalesEntry!$E$13</definedName>
  </definedNames>
  <calcPr calcId="125725"/>
  <pivotCaches>
    <pivotCache cacheId="0" r:id="rId9"/>
  </pivotCaches>
</workbook>
</file>

<file path=xl/calcChain.xml><?xml version="1.0" encoding="utf-8"?>
<calcChain xmlns="http://schemas.openxmlformats.org/spreadsheetml/2006/main">
  <c r="C4" i="19"/>
  <c r="J11" i="4"/>
  <c r="L11" s="1"/>
  <c r="J10"/>
  <c r="K10" s="1"/>
  <c r="J9"/>
  <c r="L9" s="1"/>
  <c r="J8"/>
  <c r="L8" s="1"/>
  <c r="J7"/>
  <c r="K7" s="1"/>
  <c r="J6"/>
  <c r="L6" s="1"/>
  <c r="J5"/>
  <c r="L5" s="1"/>
  <c r="E8" i="10"/>
  <c r="J4" i="4"/>
  <c r="L4" s="1"/>
  <c r="K11" l="1"/>
  <c r="L10"/>
  <c r="K9"/>
  <c r="K8"/>
  <c r="L7"/>
  <c r="K6"/>
  <c r="K5"/>
  <c r="K4"/>
  <c r="J3"/>
  <c r="L3" s="1"/>
  <c r="J2"/>
  <c r="L2" s="1"/>
  <c r="E13" i="10"/>
  <c r="E10"/>
  <c r="E9"/>
  <c r="L6" i="13"/>
  <c r="I3"/>
  <c r="E8" i="9"/>
  <c r="G4" i="19" l="1"/>
  <c r="I4"/>
  <c r="K3" i="4"/>
  <c r="K2"/>
  <c r="H3" i="13"/>
  <c r="E4" i="19" l="1"/>
  <c r="G3" i="13"/>
  <c r="G12" i="19"/>
  <c r="E13" i="9" l="1"/>
  <c r="E10"/>
  <c r="E9"/>
  <c r="G14" i="19" l="1"/>
  <c r="G22"/>
  <c r="E3" i="13" l="1"/>
  <c r="E2"/>
  <c r="E5" l="1"/>
  <c r="E6"/>
</calcChain>
</file>

<file path=xl/sharedStrings.xml><?xml version="1.0" encoding="utf-8"?>
<sst xmlns="http://schemas.openxmlformats.org/spreadsheetml/2006/main" count="261" uniqueCount="104">
  <si>
    <t>Product ID</t>
  </si>
  <si>
    <t>Product Name</t>
  </si>
  <si>
    <t>Unit Price</t>
  </si>
  <si>
    <t>Reorder Level</t>
  </si>
  <si>
    <t>S. No.</t>
  </si>
  <si>
    <t>Description</t>
  </si>
  <si>
    <t>Category</t>
  </si>
  <si>
    <t>Date</t>
  </si>
  <si>
    <t>Quantity</t>
  </si>
  <si>
    <t>Current Stock</t>
  </si>
  <si>
    <t>Stock Value</t>
  </si>
  <si>
    <t>Status</t>
  </si>
  <si>
    <t>S. No:</t>
  </si>
  <si>
    <t>Product ID:</t>
  </si>
  <si>
    <t>Product Name:</t>
  </si>
  <si>
    <t>Description:</t>
  </si>
  <si>
    <t>Category:</t>
  </si>
  <si>
    <t>Unit Price:</t>
  </si>
  <si>
    <t>Reorder Level:</t>
  </si>
  <si>
    <t>Date:</t>
  </si>
  <si>
    <t>Supplier:</t>
  </si>
  <si>
    <t>Customer:</t>
  </si>
  <si>
    <t>Enter New Product</t>
  </si>
  <si>
    <t>Sales Entry</t>
  </si>
  <si>
    <t>Purchase Entry</t>
  </si>
  <si>
    <t>Supplier Name</t>
  </si>
  <si>
    <t>Unit Cost</t>
  </si>
  <si>
    <t>Total Cost</t>
  </si>
  <si>
    <t>Quantity Purchased:</t>
  </si>
  <si>
    <t>Customer ID</t>
  </si>
  <si>
    <t>Quantity Sold</t>
  </si>
  <si>
    <t>Selling Price</t>
  </si>
  <si>
    <t>Total Sale Amount</t>
  </si>
  <si>
    <t>Quantity Sold:</t>
  </si>
  <si>
    <t>Selling Price:</t>
  </si>
  <si>
    <t>Unit Cost:</t>
  </si>
  <si>
    <t>Total Cost:</t>
  </si>
  <si>
    <t>Total Amount:</t>
  </si>
  <si>
    <t>Inventory Management Dashboard</t>
  </si>
  <si>
    <t>Grand Total</t>
  </si>
  <si>
    <t>Sum of Current Stock</t>
  </si>
  <si>
    <t>Month Start</t>
  </si>
  <si>
    <t>Month End</t>
  </si>
  <si>
    <t>Active Month Stock In</t>
  </si>
  <si>
    <t>Active Month Stock Out</t>
  </si>
  <si>
    <t>Out of Stock</t>
  </si>
  <si>
    <t>Re-Order</t>
  </si>
  <si>
    <t>P101</t>
  </si>
  <si>
    <t>Electronics</t>
  </si>
  <si>
    <t>Bluetooth Speaker</t>
  </si>
  <si>
    <t>Compact Wireless Speaker</t>
  </si>
  <si>
    <t>P102</t>
  </si>
  <si>
    <t>Gel Pen Set</t>
  </si>
  <si>
    <t>Black Ink</t>
  </si>
  <si>
    <t>Office Supplies</t>
  </si>
  <si>
    <t>Notepad(A5)</t>
  </si>
  <si>
    <t>P103</t>
  </si>
  <si>
    <t>200 ruled pages</t>
  </si>
  <si>
    <t>TechWave Supplies</t>
  </si>
  <si>
    <t>PurePrint Supplies</t>
  </si>
  <si>
    <t>C101</t>
  </si>
  <si>
    <t>C102</t>
  </si>
  <si>
    <t>C103</t>
  </si>
  <si>
    <t>C104</t>
  </si>
  <si>
    <t>Knife Set</t>
  </si>
  <si>
    <t>3 - Piece Stainless Steel</t>
  </si>
  <si>
    <t>Kitchen Essential</t>
  </si>
  <si>
    <t>P104</t>
  </si>
  <si>
    <t>Chooping Board</t>
  </si>
  <si>
    <t>Anti Slip Easy Clean</t>
  </si>
  <si>
    <t>P105</t>
  </si>
  <si>
    <t>P106</t>
  </si>
  <si>
    <t>Desk Organiser</t>
  </si>
  <si>
    <t>Multi-Compartment Storage</t>
  </si>
  <si>
    <t>Wireless Earbuds</t>
  </si>
  <si>
    <t>Noise-cancelling, lightweight</t>
  </si>
  <si>
    <t>P107</t>
  </si>
  <si>
    <t>P108</t>
  </si>
  <si>
    <t>Spice Rack</t>
  </si>
  <si>
    <t>12 jars, rotating design</t>
  </si>
  <si>
    <t>P109</t>
  </si>
  <si>
    <t>Power Bank</t>
  </si>
  <si>
    <t>10,000mAh fast - charging</t>
  </si>
  <si>
    <t>P110</t>
  </si>
  <si>
    <t>Non-Stick Fry Pan</t>
  </si>
  <si>
    <t>24-cm, durable coating</t>
  </si>
  <si>
    <t>KitchenPro Supplies</t>
  </si>
  <si>
    <t>KitchePro Supplies</t>
  </si>
  <si>
    <t>Techwave Supplies</t>
  </si>
  <si>
    <t>C113</t>
  </si>
  <si>
    <t>C123</t>
  </si>
  <si>
    <t>C343</t>
  </si>
  <si>
    <t>C549</t>
  </si>
  <si>
    <t>14/28/24</t>
  </si>
  <si>
    <t>C815</t>
  </si>
  <si>
    <t>16/29/24</t>
  </si>
  <si>
    <t>C322</t>
  </si>
  <si>
    <t>C642</t>
  </si>
  <si>
    <t>C856</t>
  </si>
  <si>
    <t>C542</t>
  </si>
  <si>
    <t>C521</t>
  </si>
  <si>
    <t>CR45</t>
  </si>
  <si>
    <t>CR324</t>
  </si>
  <si>
    <t>CR472</t>
  </si>
</sst>
</file>

<file path=xl/styles.xml><?xml version="1.0" encoding="utf-8"?>
<styleSheet xmlns="http://schemas.openxmlformats.org/spreadsheetml/2006/main">
  <numFmts count="1">
    <numFmt numFmtId="164" formatCode="[$₹-4009]\ #,##0.00"/>
  </numFmts>
  <fonts count="17">
    <font>
      <sz val="11"/>
      <color theme="1"/>
      <name val="Calibri"/>
      <family val="2"/>
      <charset val="1"/>
      <scheme val="minor"/>
    </font>
    <font>
      <sz val="11"/>
      <color theme="1"/>
      <name val="Calibri Light"/>
      <family val="2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Arial Unicode MS"/>
      <family val="2"/>
    </font>
    <font>
      <b/>
      <sz val="20"/>
      <color theme="0"/>
      <name val="Arial Unicode MS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0"/>
      <name val="Arial Unicode MS"/>
      <family val="2"/>
    </font>
    <font>
      <b/>
      <sz val="12"/>
      <color rgb="FF002060"/>
      <name val="Arial Unicode MS"/>
      <family val="2"/>
    </font>
    <font>
      <b/>
      <sz val="28"/>
      <color rgb="FF002060"/>
      <name val="Arial Unicode MS"/>
      <family val="2"/>
    </font>
    <font>
      <sz val="16"/>
      <color theme="1"/>
      <name val="Arial Unicode MS"/>
      <family val="2"/>
    </font>
    <font>
      <sz val="12"/>
      <color rgb="FF002060"/>
      <name val="Arial Unicode MS"/>
      <family val="2"/>
    </font>
    <font>
      <b/>
      <sz val="18"/>
      <color rgb="FF002060"/>
      <name val="Arial Unicode MS"/>
      <family val="2"/>
    </font>
    <font>
      <b/>
      <sz val="11"/>
      <color rgb="FF002060"/>
      <name val="Arial Unicode MS"/>
      <family val="2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/>
  </cellStyleXfs>
  <cellXfs count="88">
    <xf numFmtId="0" fontId="0" fillId="0" borderId="0" xfId="0"/>
    <xf numFmtId="0" fontId="0" fillId="2" borderId="0" xfId="0" applyFill="1"/>
    <xf numFmtId="0" fontId="5" fillId="5" borderId="3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0" fillId="2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8" fillId="0" borderId="1" xfId="0" applyFont="1" applyFill="1" applyBorder="1" applyAlignment="1">
      <alignment horizontal="center" vertical="center"/>
    </xf>
    <xf numFmtId="164" fontId="8" fillId="0" borderId="1" xfId="0" applyNumberFormat="1" applyFont="1" applyFill="1" applyBorder="1" applyAlignment="1">
      <alignment horizontal="center" vertical="center"/>
    </xf>
    <xf numFmtId="0" fontId="0" fillId="0" borderId="0" xfId="0" applyBorder="1" applyAlignment="1" applyProtection="1">
      <alignment horizontal="right"/>
      <protection locked="0"/>
    </xf>
    <xf numFmtId="0" fontId="0" fillId="0" borderId="1" xfId="0" applyBorder="1" applyProtection="1">
      <protection locked="0"/>
    </xf>
    <xf numFmtId="0" fontId="0" fillId="0" borderId="0" xfId="0" pivotButton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right"/>
      <protection locked="0"/>
    </xf>
    <xf numFmtId="0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top"/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vertical="center"/>
      <protection locked="0"/>
    </xf>
    <xf numFmtId="14" fontId="0" fillId="4" borderId="0" xfId="0" applyNumberFormat="1" applyFill="1" applyBorder="1" applyProtection="1">
      <protection hidden="1"/>
    </xf>
    <xf numFmtId="14" fontId="0" fillId="4" borderId="7" xfId="0" applyNumberFormat="1" applyFill="1" applyBorder="1" applyProtection="1">
      <protection hidden="1"/>
    </xf>
    <xf numFmtId="0" fontId="0" fillId="4" borderId="0" xfId="0" applyFill="1" applyBorder="1" applyProtection="1">
      <protection hidden="1"/>
    </xf>
    <xf numFmtId="0" fontId="0" fillId="4" borderId="7" xfId="0" applyFill="1" applyBorder="1" applyProtection="1">
      <protection hidden="1"/>
    </xf>
    <xf numFmtId="0" fontId="0" fillId="4" borderId="1" xfId="0" applyFill="1" applyBorder="1" applyProtection="1"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3" fillId="3" borderId="1" xfId="0" applyFont="1" applyFill="1" applyBorder="1" applyAlignment="1" applyProtection="1">
      <alignment horizontal="center" vertical="center"/>
      <protection locked="0"/>
    </xf>
    <xf numFmtId="14" fontId="3" fillId="0" borderId="1" xfId="0" applyNumberFormat="1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1" fontId="3" fillId="0" borderId="1" xfId="0" applyNumberFormat="1" applyFont="1" applyBorder="1" applyAlignment="1" applyProtection="1">
      <alignment horizontal="center" vertical="center"/>
      <protection locked="0"/>
    </xf>
    <xf numFmtId="164" fontId="3" fillId="0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hidden="1"/>
    </xf>
    <xf numFmtId="164" fontId="3" fillId="0" borderId="1" xfId="0" applyNumberFormat="1" applyFont="1" applyFill="1" applyBorder="1" applyAlignment="1" applyProtection="1">
      <alignment horizontal="center" vertical="center"/>
      <protection hidden="1"/>
    </xf>
    <xf numFmtId="0" fontId="0" fillId="2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vertical="top"/>
      <protection hidden="1"/>
    </xf>
    <xf numFmtId="0" fontId="12" fillId="0" borderId="0" xfId="0" applyFont="1" applyBorder="1" applyAlignment="1" applyProtection="1">
      <alignment horizontal="left" vertical="top"/>
      <protection hidden="1"/>
    </xf>
    <xf numFmtId="0" fontId="5" fillId="5" borderId="4" xfId="0" applyFont="1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 applyProtection="1">
      <alignment horizontal="center" vertical="center"/>
      <protection locked="0"/>
    </xf>
    <xf numFmtId="164" fontId="7" fillId="0" borderId="1" xfId="0" applyNumberFormat="1" applyFont="1" applyFill="1" applyBorder="1" applyAlignment="1" applyProtection="1">
      <alignment horizontal="center" vertical="center"/>
      <protection locked="0"/>
    </xf>
    <xf numFmtId="1" fontId="7" fillId="0" borderId="1" xfId="0" applyNumberFormat="1" applyFont="1" applyFill="1" applyBorder="1" applyAlignment="1" applyProtection="1">
      <alignment horizontal="center" vertical="center"/>
      <protection locked="0"/>
    </xf>
    <xf numFmtId="1" fontId="7" fillId="0" borderId="1" xfId="0" applyNumberFormat="1" applyFont="1" applyFill="1" applyBorder="1" applyAlignment="1" applyProtection="1">
      <alignment horizontal="center" vertical="center"/>
      <protection hidden="1"/>
    </xf>
    <xf numFmtId="164" fontId="7" fillId="0" borderId="1" xfId="0" applyNumberFormat="1" applyFont="1" applyFill="1" applyBorder="1" applyAlignment="1" applyProtection="1">
      <alignment horizontal="center" vertical="center"/>
      <protection hidden="1"/>
    </xf>
    <xf numFmtId="0" fontId="7" fillId="0" borderId="2" xfId="0" applyNumberFormat="1" applyFont="1" applyFill="1" applyBorder="1" applyAlignment="1" applyProtection="1">
      <alignment horizontal="center" vertical="center"/>
      <protection hidden="1"/>
    </xf>
    <xf numFmtId="0" fontId="5" fillId="5" borderId="3" xfId="0" applyFont="1" applyFill="1" applyBorder="1" applyAlignment="1" applyProtection="1">
      <alignment horizontal="center" vertical="center"/>
      <protection locked="0"/>
    </xf>
    <xf numFmtId="0" fontId="5" fillId="5" borderId="5" xfId="0" applyFont="1" applyFill="1" applyBorder="1" applyAlignment="1" applyProtection="1">
      <alignment horizontal="center" vertical="center"/>
      <protection locked="0"/>
    </xf>
    <xf numFmtId="14" fontId="7" fillId="0" borderId="1" xfId="0" applyNumberFormat="1" applyFont="1" applyFill="1" applyBorder="1" applyAlignment="1" applyProtection="1">
      <alignment horizontal="center" vertical="center"/>
      <protection locked="0"/>
    </xf>
    <xf numFmtId="0" fontId="15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horizontal="left" vertical="top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/>
    <xf numFmtId="0" fontId="2" fillId="3" borderId="1" xfId="0" applyFont="1" applyFill="1" applyBorder="1" applyAlignment="1" applyProtection="1">
      <alignment horizontal="right" vertical="center"/>
      <protection hidden="1"/>
    </xf>
    <xf numFmtId="0" fontId="0" fillId="0" borderId="6" xfId="0" applyBorder="1" applyAlignment="1" applyProtection="1">
      <alignment vertical="top"/>
      <protection hidden="1"/>
    </xf>
    <xf numFmtId="0" fontId="0" fillId="0" borderId="0" xfId="0" applyAlignment="1" applyProtection="1">
      <alignment horizontal="center"/>
      <protection hidden="1"/>
    </xf>
    <xf numFmtId="0" fontId="5" fillId="5" borderId="4" xfId="0" applyFont="1" applyFill="1" applyBorder="1" applyAlignment="1" applyProtection="1">
      <alignment horizontal="center" vertical="center"/>
      <protection hidden="1"/>
    </xf>
    <xf numFmtId="0" fontId="3" fillId="3" borderId="1" xfId="0" applyFont="1" applyFill="1" applyBorder="1" applyAlignment="1" applyProtection="1">
      <alignment horizontal="center" vertical="center"/>
    </xf>
    <xf numFmtId="0" fontId="0" fillId="2" borderId="0" xfId="0" applyFill="1" applyProtection="1"/>
    <xf numFmtId="0" fontId="2" fillId="3" borderId="1" xfId="0" applyFont="1" applyFill="1" applyBorder="1" applyAlignment="1" applyProtection="1">
      <alignment horizontal="right" vertical="center"/>
    </xf>
    <xf numFmtId="0" fontId="0" fillId="0" borderId="0" xfId="0" applyAlignment="1" applyProtection="1">
      <alignment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164" fontId="16" fillId="0" borderId="1" xfId="0" applyNumberFormat="1" applyFont="1" applyFill="1" applyBorder="1" applyAlignment="1" applyProtection="1">
      <alignment horizontal="center" vertical="center"/>
      <protection locked="0"/>
    </xf>
    <xf numFmtId="1" fontId="16" fillId="0" borderId="9" xfId="0" applyNumberFormat="1" applyFont="1" applyFill="1" applyBorder="1" applyAlignment="1" applyProtection="1">
      <alignment horizontal="center" vertical="center"/>
      <protection hidden="1"/>
    </xf>
    <xf numFmtId="164" fontId="16" fillId="0" borderId="9" xfId="0" applyNumberFormat="1" applyFont="1" applyFill="1" applyBorder="1" applyAlignment="1" applyProtection="1">
      <alignment horizontal="center" vertical="center"/>
      <protection hidden="1"/>
    </xf>
    <xf numFmtId="0" fontId="16" fillId="0" borderId="10" xfId="0" applyNumberFormat="1" applyFont="1" applyFill="1" applyBorder="1" applyAlignment="1" applyProtection="1">
      <alignment horizontal="center" vertical="center"/>
      <protection hidden="1"/>
    </xf>
    <xf numFmtId="0" fontId="16" fillId="0" borderId="1" xfId="0" applyFont="1" applyFill="1" applyBorder="1" applyAlignment="1" applyProtection="1">
      <alignment horizontal="center" vertical="center"/>
      <protection locked="0"/>
    </xf>
    <xf numFmtId="1" fontId="16" fillId="0" borderId="1" xfId="0" applyNumberFormat="1" applyFont="1" applyFill="1" applyBorder="1" applyAlignment="1" applyProtection="1">
      <alignment horizontal="center" vertical="center"/>
      <protection locked="0"/>
    </xf>
    <xf numFmtId="14" fontId="16" fillId="0" borderId="1" xfId="0" applyNumberFormat="1" applyFont="1" applyFill="1" applyBorder="1" applyAlignment="1" applyProtection="1">
      <alignment horizontal="center" vertical="center"/>
      <protection locked="0"/>
    </xf>
    <xf numFmtId="164" fontId="7" fillId="0" borderId="1" xfId="0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14" fontId="7" fillId="0" borderId="1" xfId="0" applyNumberFormat="1" applyFont="1" applyFill="1" applyBorder="1" applyAlignment="1">
      <alignment horizontal="center" vertical="center"/>
    </xf>
    <xf numFmtId="14" fontId="8" fillId="0" borderId="1" xfId="0" applyNumberFormat="1" applyFont="1" applyFill="1" applyBorder="1" applyAlignment="1">
      <alignment horizontal="center" vertical="center"/>
    </xf>
    <xf numFmtId="164" fontId="16" fillId="0" borderId="1" xfId="0" applyNumberFormat="1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14" fontId="16" fillId="0" borderId="1" xfId="0" applyNumberFormat="1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6" xfId="0" applyBorder="1" applyAlignment="1" applyProtection="1">
      <alignment vertical="top"/>
    </xf>
    <xf numFmtId="0" fontId="4" fillId="0" borderId="0" xfId="0" applyFont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left" vertical="center" wrapText="1"/>
      <protection hidden="1"/>
    </xf>
    <xf numFmtId="0" fontId="10" fillId="7" borderId="9" xfId="0" applyFont="1" applyFill="1" applyBorder="1" applyAlignment="1" applyProtection="1">
      <alignment horizontal="center" vertical="center" wrapText="1"/>
      <protection hidden="1"/>
    </xf>
    <xf numFmtId="0" fontId="10" fillId="7" borderId="4" xfId="0" applyFont="1" applyFill="1" applyBorder="1" applyAlignment="1" applyProtection="1">
      <alignment horizontal="center" vertical="center" wrapText="1"/>
      <protection hidden="1"/>
    </xf>
    <xf numFmtId="0" fontId="9" fillId="2" borderId="0" xfId="0" applyFont="1" applyFill="1" applyAlignment="1" applyProtection="1">
      <alignment horizontal="center" vertical="center" wrapText="1"/>
      <protection hidden="1"/>
    </xf>
    <xf numFmtId="0" fontId="13" fillId="0" borderId="0" xfId="0" applyFont="1" applyBorder="1" applyAlignment="1" applyProtection="1">
      <alignment horizontal="left" vertical="center" wrapText="1"/>
      <protection hidden="1"/>
    </xf>
    <xf numFmtId="0" fontId="11" fillId="6" borderId="9" xfId="0" applyFont="1" applyFill="1" applyBorder="1" applyAlignment="1" applyProtection="1">
      <alignment horizontal="center" vertical="center" wrapText="1"/>
      <protection hidden="1"/>
    </xf>
    <xf numFmtId="0" fontId="11" fillId="6" borderId="8" xfId="0" applyFont="1" applyFill="1" applyBorder="1" applyAlignment="1" applyProtection="1">
      <alignment horizontal="center" vertical="center" wrapText="1"/>
      <protection hidden="1"/>
    </xf>
    <xf numFmtId="0" fontId="11" fillId="6" borderId="4" xfId="0" applyFont="1" applyFill="1" applyBorder="1" applyAlignment="1" applyProtection="1">
      <alignment horizontal="center" vertical="center" wrapText="1"/>
      <protection hidden="1"/>
    </xf>
    <xf numFmtId="0" fontId="6" fillId="5" borderId="0" xfId="0" applyFont="1" applyFill="1" applyAlignment="1" applyProtection="1">
      <alignment horizontal="center" vertical="center" wrapText="1"/>
    </xf>
    <xf numFmtId="0" fontId="6" fillId="5" borderId="0" xfId="0" applyFont="1" applyFill="1" applyAlignment="1" applyProtection="1">
      <alignment horizontal="center" vertical="center" wrapText="1"/>
      <protection hidden="1"/>
    </xf>
  </cellXfs>
  <cellStyles count="2">
    <cellStyle name="Normal" xfId="0" builtinId="0"/>
    <cellStyle name="Normal 2" xfId="1"/>
  </cellStyles>
  <dxfs count="59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₹-4009]\ #,##0.00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₹-4009]\ #,##0.00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/>
        <right/>
        <top/>
        <bottom/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Unicode MS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₹-4009]\ #,##0.00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₹-4009]\ #,##0.00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>
        <left/>
        <right/>
        <top/>
        <bottom/>
      </border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Unicode MS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  <protection locked="1" hidden="1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₹-4009]\ #,##0.00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₹-4009]\ #,##0.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</patternFill>
      </fill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Unicode MS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/>
        <i val="0"/>
        <color theme="1"/>
      </font>
      <fill>
        <patternFill>
          <bgColor theme="9" tint="0.59996337778862885"/>
        </patternFill>
      </fill>
    </dxf>
    <dxf>
      <protection locked="0" hidden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65D7FF"/>
      <color rgb="FFFFA7A7"/>
      <color rgb="FF00E266"/>
      <color rgb="FF00C459"/>
      <color rgb="FFFF9F9F"/>
      <color rgb="FFFFD653"/>
      <color rgb="FFFF8181"/>
      <color rgb="FFFF9D5B"/>
      <color rgb="FFFF7C80"/>
      <color rgb="FFEE12B4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8"/>
  <c:chart>
    <c:plotArea>
      <c:layout>
        <c:manualLayout>
          <c:layoutTarget val="inner"/>
          <c:xMode val="edge"/>
          <c:yMode val="edge"/>
          <c:x val="3.798199262111239E-2"/>
          <c:y val="9.7435913829314519E-2"/>
          <c:w val="0.75344133455553708"/>
          <c:h val="0.77264953439827644"/>
        </c:manualLayout>
      </c:layout>
      <c:barChart>
        <c:barDir val="bar"/>
        <c:grouping val="stacked"/>
        <c:ser>
          <c:idx val="0"/>
          <c:order val="0"/>
          <c:tx>
            <c:strRef>
              <c:f>Calculation!$H$2</c:f>
              <c:strCache>
                <c:ptCount val="1"/>
                <c:pt idx="0">
                  <c:v>Current Stock</c:v>
                </c:pt>
              </c:strCache>
            </c:strRef>
          </c:tx>
          <c:spPr>
            <a:solidFill>
              <a:srgbClr val="00E266"/>
            </a:solidFill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Calculation!$G$3</c:f>
              <c:strCache>
                <c:ptCount val="1"/>
                <c:pt idx="0">
                  <c:v>Desk Organiser</c:v>
                </c:pt>
              </c:strCache>
            </c:strRef>
          </c:cat>
          <c:val>
            <c:numRef>
              <c:f>Calculation!$H$3</c:f>
              <c:numCache>
                <c:formatCode>General</c:formatCode>
                <c:ptCount val="1"/>
                <c:pt idx="0">
                  <c:v>38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8E6-4314-8F06-6E71C7048E86}"/>
            </c:ext>
          </c:extLst>
        </c:ser>
        <c:ser>
          <c:idx val="1"/>
          <c:order val="1"/>
          <c:tx>
            <c:strRef>
              <c:f>Calculation!$I$2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rgbClr val="FFA7A7"/>
            </a:solidFill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Calculation!$G$3</c:f>
              <c:strCache>
                <c:ptCount val="1"/>
                <c:pt idx="0">
                  <c:v>Desk Organiser</c:v>
                </c:pt>
              </c:strCache>
            </c:strRef>
          </c:cat>
          <c:val>
            <c:numRef>
              <c:f>Calculation!$I$3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8E6-4314-8F06-6E71C7048E86}"/>
            </c:ext>
          </c:extLst>
        </c:ser>
        <c:overlap val="100"/>
        <c:axId val="138198400"/>
        <c:axId val="138208384"/>
      </c:barChart>
      <c:catAx>
        <c:axId val="138198400"/>
        <c:scaling>
          <c:orientation val="minMax"/>
        </c:scaling>
        <c:delete val="1"/>
        <c:axPos val="l"/>
        <c:numFmt formatCode="General" sourceLinked="0"/>
        <c:tickLblPos val="none"/>
        <c:crossAx val="138208384"/>
        <c:crosses val="autoZero"/>
        <c:auto val="1"/>
        <c:lblAlgn val="ctr"/>
        <c:lblOffset val="100"/>
      </c:catAx>
      <c:valAx>
        <c:axId val="138208384"/>
        <c:scaling>
          <c:orientation val="minMax"/>
          <c:min val="0"/>
        </c:scaling>
        <c:delete val="1"/>
        <c:axPos val="b"/>
        <c:numFmt formatCode="General" sourceLinked="1"/>
        <c:tickLblPos val="none"/>
        <c:crossAx val="138198400"/>
        <c:crosses val="autoZero"/>
        <c:crossBetween val="between"/>
      </c:valAx>
      <c:spPr>
        <a:noFill/>
        <a:ln>
          <a:noFill/>
        </a:ln>
      </c:spPr>
    </c:plotArea>
    <c:legend>
      <c:legendPos val="r"/>
      <c:layout/>
      <c:txPr>
        <a:bodyPr/>
        <a:lstStyle/>
        <a:p>
          <a:pPr>
            <a:defRPr b="1"/>
          </a:pPr>
          <a:endParaRPr lang="en-US"/>
        </a:p>
      </c:txPr>
    </c:legend>
    <c:plotVisOnly val="1"/>
    <c:dispBlanksAs val="gap"/>
  </c:chart>
  <c:spPr>
    <a:noFill/>
    <a:ln>
      <a:noFill/>
    </a:ln>
  </c:spPr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"/>
  <c:pivotSource>
    <c:name>[Inventory_Management_Excel_Template.xlsm]Calculation!Category_CurrentStock</c:name>
    <c:fmtId val="16"/>
  </c:pivotSource>
  <c:chart>
    <c:autoTitleDeleted val="1"/>
    <c:pivotFmts>
      <c:pivotFmt>
        <c:idx val="0"/>
        <c:dLbl>
          <c:idx val="0"/>
          <c:dLblPos val="outEnd"/>
          <c:showVal val="1"/>
        </c:dLbl>
      </c:pivotFmt>
      <c:pivotFmt>
        <c:idx val="1"/>
        <c:dLbl>
          <c:idx val="0"/>
          <c:dLblPos val="outEnd"/>
          <c:showVal val="1"/>
        </c:dLbl>
      </c:pivotFmt>
      <c:pivotFmt>
        <c:idx val="2"/>
        <c:dLbl>
          <c:idx val="0"/>
          <c:dLblPos val="outEnd"/>
          <c:showVal val="1"/>
        </c:dLbl>
      </c:pivotFmt>
      <c:pivotFmt>
        <c:idx val="3"/>
        <c:dLbl>
          <c:idx val="0"/>
          <c:dLblPos val="outEnd"/>
          <c:showVal val="1"/>
        </c:dLbl>
      </c:pivotFmt>
      <c:pivotFmt>
        <c:idx val="4"/>
        <c:dLbl>
          <c:idx val="0"/>
          <c:dLblPos val="outEnd"/>
          <c:showVal val="1"/>
        </c:dLbl>
      </c:pivotFmt>
      <c:pivotFmt>
        <c:idx val="5"/>
        <c:dLbl>
          <c:idx val="0"/>
          <c:dLblPos val="outEnd"/>
          <c:showVal val="1"/>
        </c:dLbl>
      </c:pivotFmt>
      <c:pivotFmt>
        <c:idx val="6"/>
        <c:dLbl>
          <c:idx val="0"/>
          <c:dLblPos val="outEnd"/>
          <c:showVal val="1"/>
        </c:dLbl>
      </c:pivotFmt>
      <c:pivotFmt>
        <c:idx val="7"/>
        <c:dLbl>
          <c:idx val="0"/>
          <c:dLblPos val="outEnd"/>
          <c:showVal val="1"/>
        </c:dLbl>
      </c:pivotFmt>
      <c:pivotFmt>
        <c:idx val="8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  <c:dLbl>
          <c:idx val="0"/>
          <c:layout/>
          <c:dLblPos val="outEnd"/>
          <c:showVal val="1"/>
        </c:dLbl>
      </c:pivotFmt>
      <c:pivotFmt>
        <c:idx val="9"/>
        <c:dLbl>
          <c:idx val="0"/>
          <c:spPr/>
          <c:txPr>
            <a:bodyPr/>
            <a:lstStyle/>
            <a:p>
              <a:pPr>
                <a:defRPr b="1"/>
              </a:pPr>
              <a:endParaRPr lang="en-US"/>
            </a:p>
          </c:txPr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Calculation!$B$3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dLblPos val="outEnd"/>
            <c:showVal val="1"/>
          </c:dLbls>
          <c:cat>
            <c:strRef>
              <c:f>Calculation!$A$4:$A$7</c:f>
              <c:strCache>
                <c:ptCount val="3"/>
                <c:pt idx="0">
                  <c:v>Electronics</c:v>
                </c:pt>
                <c:pt idx="1">
                  <c:v>Office Supplies</c:v>
                </c:pt>
                <c:pt idx="2">
                  <c:v>Kitchen Essential</c:v>
                </c:pt>
              </c:strCache>
            </c:strRef>
          </c:cat>
          <c:val>
            <c:numRef>
              <c:f>Calculation!$B$4:$B$7</c:f>
              <c:numCache>
                <c:formatCode>General</c:formatCode>
                <c:ptCount val="3"/>
                <c:pt idx="0">
                  <c:v>605</c:v>
                </c:pt>
                <c:pt idx="1">
                  <c:v>42</c:v>
                </c:pt>
                <c:pt idx="2">
                  <c:v>177</c:v>
                </c:pt>
              </c:numCache>
            </c:numRef>
          </c:val>
        </c:ser>
        <c:axId val="138771840"/>
        <c:axId val="138785920"/>
      </c:barChart>
      <c:catAx>
        <c:axId val="138771840"/>
        <c:scaling>
          <c:orientation val="minMax"/>
        </c:scaling>
        <c:axPos val="b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38785920"/>
        <c:crosses val="autoZero"/>
        <c:auto val="1"/>
        <c:lblAlgn val="ctr"/>
        <c:lblOffset val="100"/>
      </c:catAx>
      <c:valAx>
        <c:axId val="138785920"/>
        <c:scaling>
          <c:orientation val="minMax"/>
        </c:scaling>
        <c:delete val="1"/>
        <c:axPos val="l"/>
        <c:numFmt formatCode="General" sourceLinked="1"/>
        <c:tickLblPos val="none"/>
        <c:crossAx val="138771840"/>
        <c:crosses val="autoZero"/>
        <c:crossBetween val="between"/>
      </c:valAx>
    </c:plotArea>
    <c:plotVisOnly val="1"/>
  </c:chart>
  <c:printSettings>
    <c:headerFooter/>
    <c:pageMargins b="0.75000000000000788" l="0.70000000000000062" r="0.70000000000000062" t="0.7500000000000078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8"/>
  <c:chart>
    <c:plotArea>
      <c:layout>
        <c:manualLayout>
          <c:layoutTarget val="inner"/>
          <c:xMode val="edge"/>
          <c:yMode val="edge"/>
          <c:x val="5.6261698994942724E-2"/>
          <c:y val="8.2901554404144429E-2"/>
          <c:w val="0.76044299340631205"/>
          <c:h val="0.83909256710911562"/>
        </c:manualLayout>
      </c:layout>
      <c:barChart>
        <c:barDir val="bar"/>
        <c:grouping val="stacked"/>
        <c:ser>
          <c:idx val="0"/>
          <c:order val="0"/>
          <c:tx>
            <c:strRef>
              <c:f>Calculation!$H$2</c:f>
              <c:strCache>
                <c:ptCount val="1"/>
                <c:pt idx="0">
                  <c:v>Current Stock</c:v>
                </c:pt>
              </c:strCache>
            </c:strRef>
          </c:tx>
          <c:spPr>
            <a:solidFill>
              <a:srgbClr val="92D050"/>
            </a:solidFill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Calculation!$G$3</c:f>
              <c:strCache>
                <c:ptCount val="1"/>
                <c:pt idx="0">
                  <c:v>Desk Organiser</c:v>
                </c:pt>
              </c:strCache>
            </c:strRef>
          </c:cat>
          <c:val>
            <c:numRef>
              <c:f>Calculation!$H$3</c:f>
              <c:numCache>
                <c:formatCode>General</c:formatCode>
                <c:ptCount val="1"/>
                <c:pt idx="0">
                  <c:v>38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8E6-4314-8F06-6E71C7048E86}"/>
            </c:ext>
          </c:extLst>
        </c:ser>
        <c:ser>
          <c:idx val="1"/>
          <c:order val="1"/>
          <c:tx>
            <c:strRef>
              <c:f>Calculation!$I$2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Calculation!$G$3</c:f>
              <c:strCache>
                <c:ptCount val="1"/>
                <c:pt idx="0">
                  <c:v>Desk Organiser</c:v>
                </c:pt>
              </c:strCache>
            </c:strRef>
          </c:cat>
          <c:val>
            <c:numRef>
              <c:f>Calculation!$I$3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8E6-4314-8F06-6E71C7048E86}"/>
            </c:ext>
          </c:extLst>
        </c:ser>
        <c:overlap val="100"/>
        <c:axId val="139089408"/>
        <c:axId val="139090944"/>
      </c:barChart>
      <c:catAx>
        <c:axId val="139089408"/>
        <c:scaling>
          <c:orientation val="minMax"/>
        </c:scaling>
        <c:delete val="1"/>
        <c:axPos val="l"/>
        <c:numFmt formatCode="General" sourceLinked="0"/>
        <c:tickLblPos val="none"/>
        <c:crossAx val="139090944"/>
        <c:crosses val="autoZero"/>
        <c:auto val="1"/>
        <c:lblAlgn val="ctr"/>
        <c:lblOffset val="100"/>
      </c:catAx>
      <c:valAx>
        <c:axId val="139090944"/>
        <c:scaling>
          <c:orientation val="minMax"/>
          <c:min val="0"/>
        </c:scaling>
        <c:delete val="1"/>
        <c:axPos val="b"/>
        <c:numFmt formatCode="General" sourceLinked="1"/>
        <c:tickLblPos val="none"/>
        <c:crossAx val="139089408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SalesEntry!A1"/><Relationship Id="rId3" Type="http://schemas.openxmlformats.org/officeDocument/2006/relationships/hyperlink" Target="#Dashboard!A1"/><Relationship Id="rId7" Type="http://schemas.openxmlformats.org/officeDocument/2006/relationships/hyperlink" Target="#PurchaseEntry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Sales!A1"/><Relationship Id="rId5" Type="http://schemas.openxmlformats.org/officeDocument/2006/relationships/hyperlink" Target="#Purchase!A1"/><Relationship Id="rId4" Type="http://schemas.openxmlformats.org/officeDocument/2006/relationships/hyperlink" Target="#Inventory!A1"/><Relationship Id="rId9" Type="http://schemas.openxmlformats.org/officeDocument/2006/relationships/hyperlink" Target="#EnterNewProduct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urchase!A1"/><Relationship Id="rId7" Type="http://schemas.openxmlformats.org/officeDocument/2006/relationships/hyperlink" Target="#EnterNewProduct!A1"/><Relationship Id="rId2" Type="http://schemas.openxmlformats.org/officeDocument/2006/relationships/hyperlink" Target="#Inventory!A1"/><Relationship Id="rId1" Type="http://schemas.openxmlformats.org/officeDocument/2006/relationships/hyperlink" Target="#Dashboard!A1"/><Relationship Id="rId6" Type="http://schemas.openxmlformats.org/officeDocument/2006/relationships/hyperlink" Target="#SalesEntry!A1"/><Relationship Id="rId5" Type="http://schemas.openxmlformats.org/officeDocument/2006/relationships/hyperlink" Target="#PurchaseEntry!A1"/><Relationship Id="rId4" Type="http://schemas.openxmlformats.org/officeDocument/2006/relationships/hyperlink" Target="#Sale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urchase!A1"/><Relationship Id="rId7" Type="http://schemas.openxmlformats.org/officeDocument/2006/relationships/hyperlink" Target="#EnterNewProduct!A1"/><Relationship Id="rId2" Type="http://schemas.openxmlformats.org/officeDocument/2006/relationships/hyperlink" Target="#Inventory!A1"/><Relationship Id="rId1" Type="http://schemas.openxmlformats.org/officeDocument/2006/relationships/hyperlink" Target="#Dashboard!A1"/><Relationship Id="rId6" Type="http://schemas.openxmlformats.org/officeDocument/2006/relationships/hyperlink" Target="#SalesEntry!A1"/><Relationship Id="rId5" Type="http://schemas.openxmlformats.org/officeDocument/2006/relationships/hyperlink" Target="#PurchaseEntry!A1"/><Relationship Id="rId4" Type="http://schemas.openxmlformats.org/officeDocument/2006/relationships/hyperlink" Target="#Sale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urchase!A1"/><Relationship Id="rId7" Type="http://schemas.openxmlformats.org/officeDocument/2006/relationships/hyperlink" Target="#EnterNewProduct!A1"/><Relationship Id="rId2" Type="http://schemas.openxmlformats.org/officeDocument/2006/relationships/hyperlink" Target="#Inventory!A1"/><Relationship Id="rId1" Type="http://schemas.openxmlformats.org/officeDocument/2006/relationships/hyperlink" Target="#Dashboard!A1"/><Relationship Id="rId6" Type="http://schemas.openxmlformats.org/officeDocument/2006/relationships/hyperlink" Target="#SalesEntry!A1"/><Relationship Id="rId5" Type="http://schemas.openxmlformats.org/officeDocument/2006/relationships/hyperlink" Target="#PurchaseEntry!A1"/><Relationship Id="rId4" Type="http://schemas.openxmlformats.org/officeDocument/2006/relationships/hyperlink" Target="#Sale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urchase!A1"/><Relationship Id="rId7" Type="http://schemas.openxmlformats.org/officeDocument/2006/relationships/hyperlink" Target="#EnterNewProduct!A1"/><Relationship Id="rId2" Type="http://schemas.openxmlformats.org/officeDocument/2006/relationships/hyperlink" Target="#Inventory!A1"/><Relationship Id="rId1" Type="http://schemas.openxmlformats.org/officeDocument/2006/relationships/hyperlink" Target="#Dashboard!A1"/><Relationship Id="rId6" Type="http://schemas.openxmlformats.org/officeDocument/2006/relationships/hyperlink" Target="#SalesEntry!A1"/><Relationship Id="rId5" Type="http://schemas.openxmlformats.org/officeDocument/2006/relationships/hyperlink" Target="#PurchaseEntry!A1"/><Relationship Id="rId4" Type="http://schemas.openxmlformats.org/officeDocument/2006/relationships/hyperlink" Target="#Sales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urchase!A1"/><Relationship Id="rId7" Type="http://schemas.openxmlformats.org/officeDocument/2006/relationships/hyperlink" Target="#EnterNewProduct!A1"/><Relationship Id="rId2" Type="http://schemas.openxmlformats.org/officeDocument/2006/relationships/hyperlink" Target="#Inventory!A1"/><Relationship Id="rId1" Type="http://schemas.openxmlformats.org/officeDocument/2006/relationships/hyperlink" Target="#Dashboard!A1"/><Relationship Id="rId6" Type="http://schemas.openxmlformats.org/officeDocument/2006/relationships/hyperlink" Target="#SalesEntry!A1"/><Relationship Id="rId5" Type="http://schemas.openxmlformats.org/officeDocument/2006/relationships/hyperlink" Target="#PurchaseEntry!A1"/><Relationship Id="rId4" Type="http://schemas.openxmlformats.org/officeDocument/2006/relationships/hyperlink" Target="#Sale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urchase!A1"/><Relationship Id="rId7" Type="http://schemas.openxmlformats.org/officeDocument/2006/relationships/hyperlink" Target="#EnterNewProduct!A1"/><Relationship Id="rId2" Type="http://schemas.openxmlformats.org/officeDocument/2006/relationships/hyperlink" Target="#Inventory!A1"/><Relationship Id="rId1" Type="http://schemas.openxmlformats.org/officeDocument/2006/relationships/hyperlink" Target="#Dashboard!A1"/><Relationship Id="rId6" Type="http://schemas.openxmlformats.org/officeDocument/2006/relationships/hyperlink" Target="#SalesEntry!A1"/><Relationship Id="rId5" Type="http://schemas.openxmlformats.org/officeDocument/2006/relationships/hyperlink" Target="#PurchaseEntry!A1"/><Relationship Id="rId4" Type="http://schemas.openxmlformats.org/officeDocument/2006/relationships/hyperlink" Target="#Sale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84220</xdr:colOff>
      <xdr:row>14</xdr:row>
      <xdr:rowOff>10026</xdr:rowOff>
    </xdr:from>
    <xdr:to>
      <xdr:col>8</xdr:col>
      <xdr:colOff>2195763</xdr:colOff>
      <xdr:row>22</xdr:row>
      <xdr:rowOff>50131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152400</xdr:colOff>
      <xdr:row>8</xdr:row>
      <xdr:rowOff>180975</xdr:rowOff>
    </xdr:from>
    <xdr:to>
      <xdr:col>9</xdr:col>
      <xdr:colOff>0</xdr:colOff>
      <xdr:row>10</xdr:row>
      <xdr:rowOff>57150</xdr:rowOff>
    </xdr:to>
    <xdr:sp macro="" textlink="">
      <xdr:nvSpPr>
        <xdr:cNvPr id="13" name="Rounded Rectangle 12"/>
        <xdr:cNvSpPr/>
      </xdr:nvSpPr>
      <xdr:spPr>
        <a:xfrm>
          <a:off x="6867525" y="1771650"/>
          <a:ext cx="4972050" cy="257175"/>
        </a:xfrm>
        <a:prstGeom prst="roundRect">
          <a:avLst/>
        </a:prstGeom>
        <a:solidFill>
          <a:schemeClr val="bg1">
            <a:lumMod val="95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200" b="1">
              <a:solidFill>
                <a:srgbClr val="002060"/>
              </a:solidFill>
              <a:latin typeface="Cambria" pitchFamily="18" charset="0"/>
              <a:ea typeface="Cambria" pitchFamily="18" charset="0"/>
            </a:rPr>
            <a:t>Product wise Current</a:t>
          </a:r>
          <a:r>
            <a:rPr lang="en-US" sz="1200" b="1" baseline="0">
              <a:solidFill>
                <a:srgbClr val="002060"/>
              </a:solidFill>
              <a:latin typeface="Cambria" pitchFamily="18" charset="0"/>
              <a:ea typeface="Cambria" pitchFamily="18" charset="0"/>
            </a:rPr>
            <a:t> Stock vs Re-Order Level</a:t>
          </a:r>
          <a:endParaRPr lang="en-US" sz="1200" b="1">
            <a:solidFill>
              <a:srgbClr val="002060"/>
            </a:solidFill>
            <a:latin typeface="Cambria" pitchFamily="18" charset="0"/>
            <a:ea typeface="Cambria" pitchFamily="18" charset="0"/>
          </a:endParaRPr>
        </a:p>
      </xdr:txBody>
    </xdr:sp>
    <xdr:clientData/>
  </xdr:twoCellAnchor>
  <xdr:twoCellAnchor>
    <xdr:from>
      <xdr:col>2</xdr:col>
      <xdr:colOff>9524</xdr:colOff>
      <xdr:row>8</xdr:row>
      <xdr:rowOff>180975</xdr:rowOff>
    </xdr:from>
    <xdr:to>
      <xdr:col>5</xdr:col>
      <xdr:colOff>9525</xdr:colOff>
      <xdr:row>10</xdr:row>
      <xdr:rowOff>57150</xdr:rowOff>
    </xdr:to>
    <xdr:sp macro="" textlink="">
      <xdr:nvSpPr>
        <xdr:cNvPr id="14" name="Rounded Rectangle 13"/>
        <xdr:cNvSpPr/>
      </xdr:nvSpPr>
      <xdr:spPr>
        <a:xfrm>
          <a:off x="1847849" y="1771650"/>
          <a:ext cx="4876801" cy="257175"/>
        </a:xfrm>
        <a:prstGeom prst="roundRect">
          <a:avLst/>
        </a:prstGeom>
        <a:solidFill>
          <a:schemeClr val="bg1">
            <a:lumMod val="95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200" b="1">
              <a:solidFill>
                <a:srgbClr val="002060"/>
              </a:solidFill>
              <a:latin typeface="Cambria" pitchFamily="18" charset="0"/>
              <a:ea typeface="Cambria" pitchFamily="18" charset="0"/>
            </a:rPr>
            <a:t>Category wise Current Stock</a:t>
          </a:r>
        </a:p>
      </xdr:txBody>
    </xdr:sp>
    <xdr:clientData/>
  </xdr:twoCellAnchor>
  <xdr:twoCellAnchor>
    <xdr:from>
      <xdr:col>6</xdr:col>
      <xdr:colOff>502</xdr:colOff>
      <xdr:row>11</xdr:row>
      <xdr:rowOff>0</xdr:rowOff>
    </xdr:from>
    <xdr:to>
      <xdr:col>9</xdr:col>
      <xdr:colOff>0</xdr:colOff>
      <xdr:row>23</xdr:row>
      <xdr:rowOff>93631</xdr:rowOff>
    </xdr:to>
    <xdr:sp macro="" textlink="">
      <xdr:nvSpPr>
        <xdr:cNvPr id="7" name="TextBox 6"/>
        <xdr:cNvSpPr txBox="1"/>
      </xdr:nvSpPr>
      <xdr:spPr>
        <a:xfrm>
          <a:off x="6838449" y="2165684"/>
          <a:ext cx="4812130" cy="2520000"/>
        </a:xfrm>
        <a:prstGeom prst="rect">
          <a:avLst/>
        </a:prstGeom>
        <a:noFill/>
        <a:ln w="9525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238123</xdr:colOff>
      <xdr:row>10</xdr:row>
      <xdr:rowOff>190498</xdr:rowOff>
    </xdr:from>
    <xdr:to>
      <xdr:col>5</xdr:col>
      <xdr:colOff>50131</xdr:colOff>
      <xdr:row>23</xdr:row>
      <xdr:rowOff>93629</xdr:rowOff>
    </xdr:to>
    <xdr:graphicFrame macro="">
      <xdr:nvGraphicFramePr>
        <xdr:cNvPr id="19" name="Category wise Current Stock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</xdr:row>
      <xdr:rowOff>70185</xdr:rowOff>
    </xdr:from>
    <xdr:to>
      <xdr:col>1</xdr:col>
      <xdr:colOff>70185</xdr:colOff>
      <xdr:row>21</xdr:row>
      <xdr:rowOff>151793</xdr:rowOff>
    </xdr:to>
    <xdr:grpSp>
      <xdr:nvGrpSpPr>
        <xdr:cNvPr id="38" name="Group 37"/>
        <xdr:cNvGrpSpPr/>
      </xdr:nvGrpSpPr>
      <xdr:grpSpPr>
        <a:xfrm>
          <a:off x="0" y="561474"/>
          <a:ext cx="1714501" cy="3681056"/>
          <a:chOff x="12184229" y="650403"/>
          <a:chExt cx="1849273" cy="3364028"/>
        </a:xfrm>
      </xdr:grpSpPr>
      <xdr:sp macro="" textlink="">
        <xdr:nvSpPr>
          <xdr:cNvPr id="39" name="TextBox 38">
            <a:hlinkClick xmlns:r="http://schemas.openxmlformats.org/officeDocument/2006/relationships" r:id="rId3"/>
          </xdr:cNvPr>
          <xdr:cNvSpPr txBox="1"/>
        </xdr:nvSpPr>
        <xdr:spPr>
          <a:xfrm>
            <a:off x="12184230" y="650403"/>
            <a:ext cx="1849272" cy="318857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rgbClr val="002060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Dashboard</a:t>
            </a:r>
          </a:p>
        </xdr:txBody>
      </xdr:sp>
      <xdr:sp macro="" textlink="">
        <xdr:nvSpPr>
          <xdr:cNvPr id="40" name="TextBox 39">
            <a:hlinkClick xmlns:r="http://schemas.openxmlformats.org/officeDocument/2006/relationships" r:id="rId4"/>
          </xdr:cNvPr>
          <xdr:cNvSpPr txBox="1"/>
        </xdr:nvSpPr>
        <xdr:spPr>
          <a:xfrm>
            <a:off x="12313296" y="2680515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Inventory</a:t>
            </a:r>
          </a:p>
        </xdr:txBody>
      </xdr:sp>
      <xdr:sp macro="" textlink="">
        <xdr:nvSpPr>
          <xdr:cNvPr id="41" name="TextBox 40">
            <a:hlinkClick xmlns:r="http://schemas.openxmlformats.org/officeDocument/2006/relationships" r:id="rId5"/>
          </xdr:cNvPr>
          <xdr:cNvSpPr txBox="1"/>
        </xdr:nvSpPr>
        <xdr:spPr>
          <a:xfrm>
            <a:off x="12313296" y="3188043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Purchase</a:t>
            </a:r>
          </a:p>
        </xdr:txBody>
      </xdr:sp>
      <xdr:sp macro="" textlink="">
        <xdr:nvSpPr>
          <xdr:cNvPr id="42" name="TextBox 41">
            <a:hlinkClick xmlns:r="http://schemas.openxmlformats.org/officeDocument/2006/relationships" r:id="rId6"/>
          </xdr:cNvPr>
          <xdr:cNvSpPr txBox="1"/>
        </xdr:nvSpPr>
        <xdr:spPr>
          <a:xfrm>
            <a:off x="12313296" y="3695574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Sales</a:t>
            </a:r>
          </a:p>
        </xdr:txBody>
      </xdr:sp>
      <xdr:sp macro="" textlink="">
        <xdr:nvSpPr>
          <xdr:cNvPr id="43" name="TextBox 42">
            <a:hlinkClick xmlns:r="http://schemas.openxmlformats.org/officeDocument/2006/relationships" r:id="rId7"/>
          </xdr:cNvPr>
          <xdr:cNvSpPr txBox="1"/>
        </xdr:nvSpPr>
        <xdr:spPr>
          <a:xfrm>
            <a:off x="12313296" y="1665459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Purchase  Entry</a:t>
            </a:r>
          </a:p>
        </xdr:txBody>
      </xdr:sp>
      <xdr:sp macro="" textlink="">
        <xdr:nvSpPr>
          <xdr:cNvPr id="44" name="TextBox 43">
            <a:hlinkClick xmlns:r="http://schemas.openxmlformats.org/officeDocument/2006/relationships" r:id="rId8"/>
          </xdr:cNvPr>
          <xdr:cNvSpPr txBox="1"/>
        </xdr:nvSpPr>
        <xdr:spPr>
          <a:xfrm>
            <a:off x="12313296" y="2172987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Sales  Entry</a:t>
            </a:r>
          </a:p>
        </xdr:txBody>
      </xdr:sp>
      <xdr:sp macro="" textlink="">
        <xdr:nvSpPr>
          <xdr:cNvPr id="45" name="TextBox 44">
            <a:hlinkClick xmlns:r="http://schemas.openxmlformats.org/officeDocument/2006/relationships" r:id="rId9"/>
          </xdr:cNvPr>
          <xdr:cNvSpPr txBox="1"/>
        </xdr:nvSpPr>
        <xdr:spPr>
          <a:xfrm>
            <a:off x="12184229" y="1157931"/>
            <a:ext cx="1708684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Enter </a:t>
            </a:r>
            <a:r>
              <a:rPr lang="en-US" sz="1200" b="1" baseline="0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 </a:t>
            </a:r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New  Product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3</xdr:row>
      <xdr:rowOff>104775</xdr:rowOff>
    </xdr:from>
    <xdr:to>
      <xdr:col>9</xdr:col>
      <xdr:colOff>85725</xdr:colOff>
      <xdr:row>7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8</xdr:row>
      <xdr:rowOff>76199</xdr:rowOff>
    </xdr:from>
    <xdr:to>
      <xdr:col>7</xdr:col>
      <xdr:colOff>400275</xdr:colOff>
      <xdr:row>10</xdr:row>
      <xdr:rowOff>77399</xdr:rowOff>
    </xdr:to>
    <xdr:sp macro="[0]!UpdateInventory" textlink="">
      <xdr:nvSpPr>
        <xdr:cNvPr id="3" name="Right Arrow 2"/>
        <xdr:cNvSpPr/>
      </xdr:nvSpPr>
      <xdr:spPr>
        <a:xfrm>
          <a:off x="8420100" y="2762249"/>
          <a:ext cx="1400400" cy="763200"/>
        </a:xfrm>
        <a:prstGeom prst="rightArrow">
          <a:avLst/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000" b="1">
              <a:latin typeface="Arial Unicode MS" pitchFamily="34" charset="-128"/>
              <a:ea typeface="Arial Unicode MS" pitchFamily="34" charset="-128"/>
              <a:cs typeface="Arial Unicode MS" pitchFamily="34" charset="-128"/>
            </a:rPr>
            <a:t>Enter</a:t>
          </a:r>
        </a:p>
      </xdr:txBody>
    </xdr:sp>
    <xdr:clientData/>
  </xdr:twoCellAnchor>
  <xdr:twoCellAnchor>
    <xdr:from>
      <xdr:col>0</xdr:col>
      <xdr:colOff>0</xdr:colOff>
      <xdr:row>1</xdr:row>
      <xdr:rowOff>317028</xdr:rowOff>
    </xdr:from>
    <xdr:to>
      <xdr:col>1</xdr:col>
      <xdr:colOff>19050</xdr:colOff>
      <xdr:row>11</xdr:row>
      <xdr:rowOff>185381</xdr:rowOff>
    </xdr:to>
    <xdr:grpSp>
      <xdr:nvGrpSpPr>
        <xdr:cNvPr id="21" name="Group 20"/>
        <xdr:cNvGrpSpPr/>
      </xdr:nvGrpSpPr>
      <xdr:grpSpPr>
        <a:xfrm>
          <a:off x="0" y="507528"/>
          <a:ext cx="1666875" cy="3364028"/>
          <a:chOff x="12164124" y="650403"/>
          <a:chExt cx="1758939" cy="3364028"/>
        </a:xfrm>
      </xdr:grpSpPr>
      <xdr:sp macro="" textlink="">
        <xdr:nvSpPr>
          <xdr:cNvPr id="22" name="TextBox 21">
            <a:hlinkClick xmlns:r="http://schemas.openxmlformats.org/officeDocument/2006/relationships" r:id="rId1"/>
          </xdr:cNvPr>
          <xdr:cNvSpPr txBox="1"/>
        </xdr:nvSpPr>
        <xdr:spPr>
          <a:xfrm>
            <a:off x="12313296" y="650403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Dashboard</a:t>
            </a:r>
          </a:p>
        </xdr:txBody>
      </xdr:sp>
      <xdr:sp macro="" textlink="">
        <xdr:nvSpPr>
          <xdr:cNvPr id="23" name="TextBox 22">
            <a:hlinkClick xmlns:r="http://schemas.openxmlformats.org/officeDocument/2006/relationships" r:id="rId2"/>
          </xdr:cNvPr>
          <xdr:cNvSpPr txBox="1"/>
        </xdr:nvSpPr>
        <xdr:spPr>
          <a:xfrm>
            <a:off x="12313296" y="2680515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Inventory</a:t>
            </a:r>
          </a:p>
        </xdr:txBody>
      </xdr:sp>
      <xdr:sp macro="" textlink="">
        <xdr:nvSpPr>
          <xdr:cNvPr id="24" name="TextBox 23">
            <a:hlinkClick xmlns:r="http://schemas.openxmlformats.org/officeDocument/2006/relationships" r:id="rId3"/>
          </xdr:cNvPr>
          <xdr:cNvSpPr txBox="1"/>
        </xdr:nvSpPr>
        <xdr:spPr>
          <a:xfrm>
            <a:off x="12313296" y="3188043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Purchase</a:t>
            </a:r>
          </a:p>
        </xdr:txBody>
      </xdr:sp>
      <xdr:sp macro="" textlink="">
        <xdr:nvSpPr>
          <xdr:cNvPr id="25" name="TextBox 24">
            <a:hlinkClick xmlns:r="http://schemas.openxmlformats.org/officeDocument/2006/relationships" r:id="rId4"/>
          </xdr:cNvPr>
          <xdr:cNvSpPr txBox="1"/>
        </xdr:nvSpPr>
        <xdr:spPr>
          <a:xfrm>
            <a:off x="12313296" y="3695574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Sales</a:t>
            </a:r>
          </a:p>
        </xdr:txBody>
      </xdr:sp>
      <xdr:sp macro="" textlink="">
        <xdr:nvSpPr>
          <xdr:cNvPr id="26" name="TextBox 25">
            <a:hlinkClick xmlns:r="http://schemas.openxmlformats.org/officeDocument/2006/relationships" r:id="rId5"/>
          </xdr:cNvPr>
          <xdr:cNvSpPr txBox="1"/>
        </xdr:nvSpPr>
        <xdr:spPr>
          <a:xfrm>
            <a:off x="12313296" y="1665459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Purchase  Entry</a:t>
            </a:r>
          </a:p>
        </xdr:txBody>
      </xdr:sp>
      <xdr:sp macro="" textlink="">
        <xdr:nvSpPr>
          <xdr:cNvPr id="27" name="TextBox 26">
            <a:hlinkClick xmlns:r="http://schemas.openxmlformats.org/officeDocument/2006/relationships" r:id="rId6"/>
          </xdr:cNvPr>
          <xdr:cNvSpPr txBox="1"/>
        </xdr:nvSpPr>
        <xdr:spPr>
          <a:xfrm>
            <a:off x="12313296" y="2172987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Sales  Entry</a:t>
            </a:r>
          </a:p>
        </xdr:txBody>
      </xdr:sp>
      <xdr:sp macro="" textlink="">
        <xdr:nvSpPr>
          <xdr:cNvPr id="28" name="TextBox 27">
            <a:hlinkClick xmlns:r="http://schemas.openxmlformats.org/officeDocument/2006/relationships" r:id="rId7"/>
          </xdr:cNvPr>
          <xdr:cNvSpPr txBox="1"/>
        </xdr:nvSpPr>
        <xdr:spPr>
          <a:xfrm>
            <a:off x="12164124" y="1157931"/>
            <a:ext cx="1758939" cy="318857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rgbClr val="002060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Enter </a:t>
            </a:r>
            <a:r>
              <a:rPr lang="en-US" sz="1200" b="1" baseline="0">
                <a:solidFill>
                  <a:srgbClr val="002060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 </a:t>
            </a:r>
            <a:r>
              <a:rPr lang="en-US" sz="1200" b="1">
                <a:solidFill>
                  <a:srgbClr val="002060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New  Product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161923</xdr:colOff>
      <xdr:row>10</xdr:row>
      <xdr:rowOff>38100</xdr:rowOff>
    </xdr:from>
    <xdr:to>
      <xdr:col>8</xdr:col>
      <xdr:colOff>57373</xdr:colOff>
      <xdr:row>12</xdr:row>
      <xdr:rowOff>172650</xdr:rowOff>
    </xdr:to>
    <xdr:sp macro="[0]!RecordPurchase.RecordPurchase" textlink="">
      <xdr:nvSpPr>
        <xdr:cNvPr id="3" name="Right Arrow 2"/>
        <xdr:cNvSpPr/>
      </xdr:nvSpPr>
      <xdr:spPr>
        <a:xfrm>
          <a:off x="8477248" y="3019425"/>
          <a:ext cx="1400400" cy="763200"/>
        </a:xfrm>
        <a:prstGeom prst="rightArrow">
          <a:avLst/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000" b="1">
              <a:latin typeface="Arial Unicode MS" pitchFamily="34" charset="-128"/>
              <a:ea typeface="Arial Unicode MS" pitchFamily="34" charset="-128"/>
              <a:cs typeface="Arial Unicode MS" pitchFamily="34" charset="-128"/>
            </a:rPr>
            <a:t>Enter</a:t>
          </a:r>
        </a:p>
      </xdr:txBody>
    </xdr:sp>
    <xdr:clientData/>
  </xdr:twoCellAnchor>
  <xdr:twoCellAnchor>
    <xdr:from>
      <xdr:col>0</xdr:col>
      <xdr:colOff>0</xdr:colOff>
      <xdr:row>2</xdr:row>
      <xdr:rowOff>2703</xdr:rowOff>
    </xdr:from>
    <xdr:to>
      <xdr:col>1</xdr:col>
      <xdr:colOff>47624</xdr:colOff>
      <xdr:row>13</xdr:row>
      <xdr:rowOff>32981</xdr:rowOff>
    </xdr:to>
    <xdr:grpSp>
      <xdr:nvGrpSpPr>
        <xdr:cNvPr id="12" name="Group 11"/>
        <xdr:cNvGrpSpPr/>
      </xdr:nvGrpSpPr>
      <xdr:grpSpPr>
        <a:xfrm>
          <a:off x="0" y="593253"/>
          <a:ext cx="1695449" cy="3364028"/>
          <a:chOff x="12184229" y="650403"/>
          <a:chExt cx="1789092" cy="3364028"/>
        </a:xfrm>
      </xdr:grpSpPr>
      <xdr:sp macro="" textlink="">
        <xdr:nvSpPr>
          <xdr:cNvPr id="13" name="TextBox 12">
            <a:hlinkClick xmlns:r="http://schemas.openxmlformats.org/officeDocument/2006/relationships" r:id="rId1"/>
          </xdr:cNvPr>
          <xdr:cNvSpPr txBox="1"/>
        </xdr:nvSpPr>
        <xdr:spPr>
          <a:xfrm>
            <a:off x="12313296" y="650403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Dashboard</a:t>
            </a:r>
          </a:p>
        </xdr:txBody>
      </xdr:sp>
      <xdr:sp macro="" textlink="">
        <xdr:nvSpPr>
          <xdr:cNvPr id="14" name="TextBox 13">
            <a:hlinkClick xmlns:r="http://schemas.openxmlformats.org/officeDocument/2006/relationships" r:id="rId2"/>
          </xdr:cNvPr>
          <xdr:cNvSpPr txBox="1"/>
        </xdr:nvSpPr>
        <xdr:spPr>
          <a:xfrm>
            <a:off x="12313296" y="2680515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Inventory</a:t>
            </a:r>
          </a:p>
        </xdr:txBody>
      </xdr:sp>
      <xdr:sp macro="" textlink="">
        <xdr:nvSpPr>
          <xdr:cNvPr id="15" name="TextBox 14">
            <a:hlinkClick xmlns:r="http://schemas.openxmlformats.org/officeDocument/2006/relationships" r:id="rId3"/>
          </xdr:cNvPr>
          <xdr:cNvSpPr txBox="1"/>
        </xdr:nvSpPr>
        <xdr:spPr>
          <a:xfrm>
            <a:off x="12313296" y="3188043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Purchase</a:t>
            </a:r>
          </a:p>
        </xdr:txBody>
      </xdr:sp>
      <xdr:sp macro="" textlink="">
        <xdr:nvSpPr>
          <xdr:cNvPr id="16" name="TextBox 15">
            <a:hlinkClick xmlns:r="http://schemas.openxmlformats.org/officeDocument/2006/relationships" r:id="rId4"/>
          </xdr:cNvPr>
          <xdr:cNvSpPr txBox="1"/>
        </xdr:nvSpPr>
        <xdr:spPr>
          <a:xfrm>
            <a:off x="12313296" y="3695574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Sales</a:t>
            </a:r>
          </a:p>
        </xdr:txBody>
      </xdr:sp>
      <xdr:sp macro="" textlink="">
        <xdr:nvSpPr>
          <xdr:cNvPr id="17" name="TextBox 16">
            <a:hlinkClick xmlns:r="http://schemas.openxmlformats.org/officeDocument/2006/relationships" r:id="rId5"/>
          </xdr:cNvPr>
          <xdr:cNvSpPr txBox="1"/>
        </xdr:nvSpPr>
        <xdr:spPr>
          <a:xfrm>
            <a:off x="12192682" y="1665459"/>
            <a:ext cx="1780639" cy="318857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rgbClr val="002060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Purchase  Entry</a:t>
            </a:r>
          </a:p>
        </xdr:txBody>
      </xdr:sp>
      <xdr:sp macro="" textlink="">
        <xdr:nvSpPr>
          <xdr:cNvPr id="18" name="TextBox 17">
            <a:hlinkClick xmlns:r="http://schemas.openxmlformats.org/officeDocument/2006/relationships" r:id="rId6"/>
          </xdr:cNvPr>
          <xdr:cNvSpPr txBox="1"/>
        </xdr:nvSpPr>
        <xdr:spPr>
          <a:xfrm>
            <a:off x="12313296" y="2172987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Sales  Entry</a:t>
            </a:r>
          </a:p>
        </xdr:txBody>
      </xdr:sp>
      <xdr:sp macro="" textlink="">
        <xdr:nvSpPr>
          <xdr:cNvPr id="19" name="TextBox 18">
            <a:hlinkClick xmlns:r="http://schemas.openxmlformats.org/officeDocument/2006/relationships" r:id="rId7"/>
          </xdr:cNvPr>
          <xdr:cNvSpPr txBox="1"/>
        </xdr:nvSpPr>
        <xdr:spPr>
          <a:xfrm>
            <a:off x="12184229" y="1157931"/>
            <a:ext cx="1708684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Enter </a:t>
            </a:r>
            <a:r>
              <a:rPr lang="en-US" sz="1200" b="1" baseline="0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 </a:t>
            </a:r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New  Product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10</xdr:row>
      <xdr:rowOff>19050</xdr:rowOff>
    </xdr:from>
    <xdr:to>
      <xdr:col>7</xdr:col>
      <xdr:colOff>438150</xdr:colOff>
      <xdr:row>12</xdr:row>
      <xdr:rowOff>152400</xdr:rowOff>
    </xdr:to>
    <xdr:sp macro="[0]!RecordSales.RecordSales" textlink="">
      <xdr:nvSpPr>
        <xdr:cNvPr id="4" name="Right Arrow 3"/>
        <xdr:cNvSpPr/>
      </xdr:nvSpPr>
      <xdr:spPr>
        <a:xfrm>
          <a:off x="8448675" y="3000375"/>
          <a:ext cx="1400175" cy="762000"/>
        </a:xfrm>
        <a:prstGeom prst="rightArrow">
          <a:avLst/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000" b="1">
              <a:latin typeface="Arial Unicode MS" pitchFamily="34" charset="-128"/>
              <a:ea typeface="Arial Unicode MS" pitchFamily="34" charset="-128"/>
              <a:cs typeface="Arial Unicode MS" pitchFamily="34" charset="-128"/>
            </a:rPr>
            <a:t>Enter Data</a:t>
          </a:r>
        </a:p>
      </xdr:txBody>
    </xdr:sp>
    <xdr:clientData/>
  </xdr:twoCellAnchor>
  <xdr:twoCellAnchor>
    <xdr:from>
      <xdr:col>0</xdr:col>
      <xdr:colOff>28573</xdr:colOff>
      <xdr:row>1</xdr:row>
      <xdr:rowOff>288453</xdr:rowOff>
    </xdr:from>
    <xdr:to>
      <xdr:col>1</xdr:col>
      <xdr:colOff>85723</xdr:colOff>
      <xdr:row>12</xdr:row>
      <xdr:rowOff>233006</xdr:rowOff>
    </xdr:to>
    <xdr:grpSp>
      <xdr:nvGrpSpPr>
        <xdr:cNvPr id="12" name="Group 11"/>
        <xdr:cNvGrpSpPr/>
      </xdr:nvGrpSpPr>
      <xdr:grpSpPr>
        <a:xfrm>
          <a:off x="28573" y="478953"/>
          <a:ext cx="1704975" cy="3364028"/>
          <a:chOff x="12184229" y="650403"/>
          <a:chExt cx="1799144" cy="3364028"/>
        </a:xfrm>
      </xdr:grpSpPr>
      <xdr:sp macro="" textlink="">
        <xdr:nvSpPr>
          <xdr:cNvPr id="13" name="TextBox 12">
            <a:hlinkClick xmlns:r="http://schemas.openxmlformats.org/officeDocument/2006/relationships" r:id="rId1"/>
          </xdr:cNvPr>
          <xdr:cNvSpPr txBox="1"/>
        </xdr:nvSpPr>
        <xdr:spPr>
          <a:xfrm>
            <a:off x="12313296" y="650403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Dashboard</a:t>
            </a:r>
          </a:p>
        </xdr:txBody>
      </xdr:sp>
      <xdr:sp macro="" textlink="">
        <xdr:nvSpPr>
          <xdr:cNvPr id="14" name="TextBox 13">
            <a:hlinkClick xmlns:r="http://schemas.openxmlformats.org/officeDocument/2006/relationships" r:id="rId2"/>
          </xdr:cNvPr>
          <xdr:cNvSpPr txBox="1"/>
        </xdr:nvSpPr>
        <xdr:spPr>
          <a:xfrm>
            <a:off x="12313296" y="2680515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Inventory</a:t>
            </a:r>
          </a:p>
        </xdr:txBody>
      </xdr:sp>
      <xdr:sp macro="" textlink="">
        <xdr:nvSpPr>
          <xdr:cNvPr id="15" name="TextBox 14">
            <a:hlinkClick xmlns:r="http://schemas.openxmlformats.org/officeDocument/2006/relationships" r:id="rId3"/>
          </xdr:cNvPr>
          <xdr:cNvSpPr txBox="1"/>
        </xdr:nvSpPr>
        <xdr:spPr>
          <a:xfrm>
            <a:off x="12313296" y="3188043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Purchase</a:t>
            </a:r>
          </a:p>
        </xdr:txBody>
      </xdr:sp>
      <xdr:sp macro="" textlink="">
        <xdr:nvSpPr>
          <xdr:cNvPr id="16" name="TextBox 15">
            <a:hlinkClick xmlns:r="http://schemas.openxmlformats.org/officeDocument/2006/relationships" r:id="rId4"/>
          </xdr:cNvPr>
          <xdr:cNvSpPr txBox="1"/>
        </xdr:nvSpPr>
        <xdr:spPr>
          <a:xfrm>
            <a:off x="12313296" y="3695574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Sales</a:t>
            </a:r>
          </a:p>
        </xdr:txBody>
      </xdr:sp>
      <xdr:sp macro="" textlink="">
        <xdr:nvSpPr>
          <xdr:cNvPr id="17" name="TextBox 16">
            <a:hlinkClick xmlns:r="http://schemas.openxmlformats.org/officeDocument/2006/relationships" r:id="rId5"/>
          </xdr:cNvPr>
          <xdr:cNvSpPr txBox="1"/>
        </xdr:nvSpPr>
        <xdr:spPr>
          <a:xfrm>
            <a:off x="12313296" y="1665459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Purchase  Entry</a:t>
            </a:r>
          </a:p>
        </xdr:txBody>
      </xdr:sp>
      <xdr:sp macro="" textlink="">
        <xdr:nvSpPr>
          <xdr:cNvPr id="18" name="TextBox 17">
            <a:hlinkClick xmlns:r="http://schemas.openxmlformats.org/officeDocument/2006/relationships" r:id="rId6"/>
          </xdr:cNvPr>
          <xdr:cNvSpPr txBox="1"/>
        </xdr:nvSpPr>
        <xdr:spPr>
          <a:xfrm>
            <a:off x="12184229" y="2172987"/>
            <a:ext cx="1799144" cy="318857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rgbClr val="002060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Sales  Entry</a:t>
            </a:r>
          </a:p>
        </xdr:txBody>
      </xdr:sp>
      <xdr:sp macro="" textlink="">
        <xdr:nvSpPr>
          <xdr:cNvPr id="19" name="TextBox 18">
            <a:hlinkClick xmlns:r="http://schemas.openxmlformats.org/officeDocument/2006/relationships" r:id="rId7"/>
          </xdr:cNvPr>
          <xdr:cNvSpPr txBox="1"/>
        </xdr:nvSpPr>
        <xdr:spPr>
          <a:xfrm>
            <a:off x="12184229" y="1157931"/>
            <a:ext cx="1708684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Enter </a:t>
            </a:r>
            <a:r>
              <a:rPr lang="en-US" sz="1200" b="1" baseline="0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 </a:t>
            </a:r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New  Product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168374</xdr:rowOff>
    </xdr:from>
    <xdr:to>
      <xdr:col>1</xdr:col>
      <xdr:colOff>19050</xdr:colOff>
      <xdr:row>21</xdr:row>
      <xdr:rowOff>128231</xdr:rowOff>
    </xdr:to>
    <xdr:grpSp>
      <xdr:nvGrpSpPr>
        <xdr:cNvPr id="38" name="Group 37"/>
        <xdr:cNvGrpSpPr/>
      </xdr:nvGrpSpPr>
      <xdr:grpSpPr>
        <a:xfrm>
          <a:off x="0" y="768449"/>
          <a:ext cx="1581150" cy="3388857"/>
          <a:chOff x="12184229" y="650403"/>
          <a:chExt cx="1959064" cy="3364028"/>
        </a:xfrm>
      </xdr:grpSpPr>
      <xdr:sp macro="" textlink="">
        <xdr:nvSpPr>
          <xdr:cNvPr id="39" name="TextBox 38">
            <a:hlinkClick xmlns:r="http://schemas.openxmlformats.org/officeDocument/2006/relationships" r:id="rId1"/>
          </xdr:cNvPr>
          <xdr:cNvSpPr txBox="1"/>
        </xdr:nvSpPr>
        <xdr:spPr>
          <a:xfrm>
            <a:off x="12313296" y="650403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Dashboard</a:t>
            </a:r>
          </a:p>
        </xdr:txBody>
      </xdr:sp>
      <xdr:sp macro="" textlink="">
        <xdr:nvSpPr>
          <xdr:cNvPr id="40" name="TextBox 39">
            <a:hlinkClick xmlns:r="http://schemas.openxmlformats.org/officeDocument/2006/relationships" r:id="rId2"/>
          </xdr:cNvPr>
          <xdr:cNvSpPr txBox="1"/>
        </xdr:nvSpPr>
        <xdr:spPr>
          <a:xfrm>
            <a:off x="12184230" y="2690040"/>
            <a:ext cx="1959063" cy="318857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rgbClr val="002060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Inventory</a:t>
            </a:r>
          </a:p>
        </xdr:txBody>
      </xdr:sp>
      <xdr:sp macro="" textlink="">
        <xdr:nvSpPr>
          <xdr:cNvPr id="41" name="TextBox 40">
            <a:hlinkClick xmlns:r="http://schemas.openxmlformats.org/officeDocument/2006/relationships" r:id="rId3"/>
          </xdr:cNvPr>
          <xdr:cNvSpPr txBox="1"/>
        </xdr:nvSpPr>
        <xdr:spPr>
          <a:xfrm>
            <a:off x="12313296" y="3188043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Purchase</a:t>
            </a:r>
          </a:p>
        </xdr:txBody>
      </xdr:sp>
      <xdr:sp macro="" textlink="">
        <xdr:nvSpPr>
          <xdr:cNvPr id="42" name="TextBox 41">
            <a:hlinkClick xmlns:r="http://schemas.openxmlformats.org/officeDocument/2006/relationships" r:id="rId4"/>
          </xdr:cNvPr>
          <xdr:cNvSpPr txBox="1"/>
        </xdr:nvSpPr>
        <xdr:spPr>
          <a:xfrm>
            <a:off x="12313296" y="3695574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Sales</a:t>
            </a:r>
          </a:p>
        </xdr:txBody>
      </xdr:sp>
      <xdr:sp macro="" textlink="">
        <xdr:nvSpPr>
          <xdr:cNvPr id="43" name="TextBox 42">
            <a:hlinkClick xmlns:r="http://schemas.openxmlformats.org/officeDocument/2006/relationships" r:id="rId5"/>
          </xdr:cNvPr>
          <xdr:cNvSpPr txBox="1"/>
        </xdr:nvSpPr>
        <xdr:spPr>
          <a:xfrm>
            <a:off x="12313296" y="1665459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Purchase  Entry</a:t>
            </a:r>
          </a:p>
        </xdr:txBody>
      </xdr:sp>
      <xdr:sp macro="" textlink="">
        <xdr:nvSpPr>
          <xdr:cNvPr id="44" name="TextBox 43">
            <a:hlinkClick xmlns:r="http://schemas.openxmlformats.org/officeDocument/2006/relationships" r:id="rId6"/>
          </xdr:cNvPr>
          <xdr:cNvSpPr txBox="1"/>
        </xdr:nvSpPr>
        <xdr:spPr>
          <a:xfrm>
            <a:off x="12313296" y="2172987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Sales  Entry</a:t>
            </a:r>
          </a:p>
        </xdr:txBody>
      </xdr:sp>
      <xdr:sp macro="" textlink="">
        <xdr:nvSpPr>
          <xdr:cNvPr id="45" name="TextBox 44">
            <a:hlinkClick xmlns:r="http://schemas.openxmlformats.org/officeDocument/2006/relationships" r:id="rId7"/>
          </xdr:cNvPr>
          <xdr:cNvSpPr txBox="1"/>
        </xdr:nvSpPr>
        <xdr:spPr>
          <a:xfrm>
            <a:off x="12184229" y="1157931"/>
            <a:ext cx="1947539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Enter </a:t>
            </a:r>
            <a:r>
              <a:rPr lang="en-US" sz="1200" b="1" baseline="0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 </a:t>
            </a:r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New  Product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9522</xdr:colOff>
      <xdr:row>3</xdr:row>
      <xdr:rowOff>21753</xdr:rowOff>
    </xdr:from>
    <xdr:to>
      <xdr:col>1</xdr:col>
      <xdr:colOff>47621</xdr:colOff>
      <xdr:row>20</xdr:row>
      <xdr:rowOff>147281</xdr:rowOff>
    </xdr:to>
    <xdr:grpSp>
      <xdr:nvGrpSpPr>
        <xdr:cNvPr id="16" name="Group 15"/>
        <xdr:cNvGrpSpPr/>
      </xdr:nvGrpSpPr>
      <xdr:grpSpPr>
        <a:xfrm>
          <a:off x="9522" y="621828"/>
          <a:ext cx="1685924" cy="3364028"/>
          <a:chOff x="12184228" y="650403"/>
          <a:chExt cx="1768637" cy="3364028"/>
        </a:xfrm>
      </xdr:grpSpPr>
      <xdr:sp macro="" textlink="">
        <xdr:nvSpPr>
          <xdr:cNvPr id="17" name="TextBox 16">
            <a:hlinkClick xmlns:r="http://schemas.openxmlformats.org/officeDocument/2006/relationships" r:id="rId1"/>
          </xdr:cNvPr>
          <xdr:cNvSpPr txBox="1"/>
        </xdr:nvSpPr>
        <xdr:spPr>
          <a:xfrm>
            <a:off x="12313296" y="650403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Dashboard</a:t>
            </a:r>
          </a:p>
        </xdr:txBody>
      </xdr:sp>
      <xdr:sp macro="" textlink="">
        <xdr:nvSpPr>
          <xdr:cNvPr id="18" name="TextBox 17">
            <a:hlinkClick xmlns:r="http://schemas.openxmlformats.org/officeDocument/2006/relationships" r:id="rId2"/>
          </xdr:cNvPr>
          <xdr:cNvSpPr txBox="1"/>
        </xdr:nvSpPr>
        <xdr:spPr>
          <a:xfrm>
            <a:off x="12313296" y="2680515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Inventory</a:t>
            </a:r>
          </a:p>
        </xdr:txBody>
      </xdr:sp>
      <xdr:sp macro="" textlink="">
        <xdr:nvSpPr>
          <xdr:cNvPr id="28" name="TextBox 27">
            <a:hlinkClick xmlns:r="http://schemas.openxmlformats.org/officeDocument/2006/relationships" r:id="rId3"/>
          </xdr:cNvPr>
          <xdr:cNvSpPr txBox="1"/>
        </xdr:nvSpPr>
        <xdr:spPr>
          <a:xfrm>
            <a:off x="12184228" y="3178518"/>
            <a:ext cx="1768637" cy="318857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rgbClr val="002060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Purchase</a:t>
            </a:r>
          </a:p>
        </xdr:txBody>
      </xdr:sp>
      <xdr:sp macro="" textlink="">
        <xdr:nvSpPr>
          <xdr:cNvPr id="29" name="TextBox 28">
            <a:hlinkClick xmlns:r="http://schemas.openxmlformats.org/officeDocument/2006/relationships" r:id="rId4"/>
          </xdr:cNvPr>
          <xdr:cNvSpPr txBox="1"/>
        </xdr:nvSpPr>
        <xdr:spPr>
          <a:xfrm>
            <a:off x="12313296" y="3695574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Sales</a:t>
            </a:r>
          </a:p>
        </xdr:txBody>
      </xdr:sp>
      <xdr:sp macro="" textlink="">
        <xdr:nvSpPr>
          <xdr:cNvPr id="30" name="TextBox 29">
            <a:hlinkClick xmlns:r="http://schemas.openxmlformats.org/officeDocument/2006/relationships" r:id="rId5"/>
          </xdr:cNvPr>
          <xdr:cNvSpPr txBox="1"/>
        </xdr:nvSpPr>
        <xdr:spPr>
          <a:xfrm>
            <a:off x="12313296" y="1665459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Purchase  Entry</a:t>
            </a:r>
          </a:p>
        </xdr:txBody>
      </xdr:sp>
      <xdr:sp macro="" textlink="">
        <xdr:nvSpPr>
          <xdr:cNvPr id="31" name="TextBox 30">
            <a:hlinkClick xmlns:r="http://schemas.openxmlformats.org/officeDocument/2006/relationships" r:id="rId6"/>
          </xdr:cNvPr>
          <xdr:cNvSpPr txBox="1"/>
        </xdr:nvSpPr>
        <xdr:spPr>
          <a:xfrm>
            <a:off x="12313296" y="2172987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Sales  Entry</a:t>
            </a:r>
          </a:p>
        </xdr:txBody>
      </xdr:sp>
      <xdr:sp macro="" textlink="">
        <xdr:nvSpPr>
          <xdr:cNvPr id="32" name="TextBox 31">
            <a:hlinkClick xmlns:r="http://schemas.openxmlformats.org/officeDocument/2006/relationships" r:id="rId7"/>
          </xdr:cNvPr>
          <xdr:cNvSpPr txBox="1"/>
        </xdr:nvSpPr>
        <xdr:spPr>
          <a:xfrm>
            <a:off x="12184229" y="1157931"/>
            <a:ext cx="1708684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Enter </a:t>
            </a:r>
            <a:r>
              <a:rPr lang="en-US" sz="1200" b="1" baseline="0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 </a:t>
            </a:r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New  Product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</xdr:colOff>
      <xdr:row>3</xdr:row>
      <xdr:rowOff>69378</xdr:rowOff>
    </xdr:from>
    <xdr:to>
      <xdr:col>1</xdr:col>
      <xdr:colOff>38103</xdr:colOff>
      <xdr:row>21</xdr:row>
      <xdr:rowOff>4406</xdr:rowOff>
    </xdr:to>
    <xdr:grpSp>
      <xdr:nvGrpSpPr>
        <xdr:cNvPr id="38" name="Group 37"/>
        <xdr:cNvGrpSpPr/>
      </xdr:nvGrpSpPr>
      <xdr:grpSpPr>
        <a:xfrm>
          <a:off x="4" y="669453"/>
          <a:ext cx="1685924" cy="3364028"/>
          <a:chOff x="12184229" y="650403"/>
          <a:chExt cx="1779040" cy="3364028"/>
        </a:xfrm>
      </xdr:grpSpPr>
      <xdr:sp macro="" textlink="">
        <xdr:nvSpPr>
          <xdr:cNvPr id="39" name="TextBox 38">
            <a:hlinkClick xmlns:r="http://schemas.openxmlformats.org/officeDocument/2006/relationships" r:id="rId1"/>
          </xdr:cNvPr>
          <xdr:cNvSpPr txBox="1"/>
        </xdr:nvSpPr>
        <xdr:spPr>
          <a:xfrm>
            <a:off x="12313296" y="650403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Dashboard</a:t>
            </a:r>
          </a:p>
        </xdr:txBody>
      </xdr:sp>
      <xdr:sp macro="" textlink="">
        <xdr:nvSpPr>
          <xdr:cNvPr id="40" name="TextBox 39">
            <a:hlinkClick xmlns:r="http://schemas.openxmlformats.org/officeDocument/2006/relationships" r:id="rId2"/>
          </xdr:cNvPr>
          <xdr:cNvSpPr txBox="1"/>
        </xdr:nvSpPr>
        <xdr:spPr>
          <a:xfrm>
            <a:off x="12313296" y="2680515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Inventory</a:t>
            </a:r>
          </a:p>
        </xdr:txBody>
      </xdr:sp>
      <xdr:sp macro="" textlink="">
        <xdr:nvSpPr>
          <xdr:cNvPr id="41" name="TextBox 40">
            <a:hlinkClick xmlns:r="http://schemas.openxmlformats.org/officeDocument/2006/relationships" r:id="rId3"/>
          </xdr:cNvPr>
          <xdr:cNvSpPr txBox="1"/>
        </xdr:nvSpPr>
        <xdr:spPr>
          <a:xfrm>
            <a:off x="12313296" y="3188043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Purchase</a:t>
            </a:r>
          </a:p>
        </xdr:txBody>
      </xdr:sp>
      <xdr:sp macro="" textlink="">
        <xdr:nvSpPr>
          <xdr:cNvPr id="42" name="TextBox 41">
            <a:hlinkClick xmlns:r="http://schemas.openxmlformats.org/officeDocument/2006/relationships" r:id="rId4"/>
          </xdr:cNvPr>
          <xdr:cNvSpPr txBox="1"/>
        </xdr:nvSpPr>
        <xdr:spPr>
          <a:xfrm>
            <a:off x="12192682" y="3695574"/>
            <a:ext cx="1770587" cy="318857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rgbClr val="002060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Sales</a:t>
            </a:r>
          </a:p>
        </xdr:txBody>
      </xdr:sp>
      <xdr:sp macro="" textlink="">
        <xdr:nvSpPr>
          <xdr:cNvPr id="43" name="TextBox 42">
            <a:hlinkClick xmlns:r="http://schemas.openxmlformats.org/officeDocument/2006/relationships" r:id="rId5"/>
          </xdr:cNvPr>
          <xdr:cNvSpPr txBox="1"/>
        </xdr:nvSpPr>
        <xdr:spPr>
          <a:xfrm>
            <a:off x="12313296" y="1665459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Purchase  Entry</a:t>
            </a:r>
          </a:p>
        </xdr:txBody>
      </xdr:sp>
      <xdr:sp macro="" textlink="">
        <xdr:nvSpPr>
          <xdr:cNvPr id="44" name="TextBox 43">
            <a:hlinkClick xmlns:r="http://schemas.openxmlformats.org/officeDocument/2006/relationships" r:id="rId6"/>
          </xdr:cNvPr>
          <xdr:cNvSpPr txBox="1"/>
        </xdr:nvSpPr>
        <xdr:spPr>
          <a:xfrm>
            <a:off x="12313296" y="2172987"/>
            <a:ext cx="1579617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Sales  Entry</a:t>
            </a:r>
          </a:p>
        </xdr:txBody>
      </xdr:sp>
      <xdr:sp macro="" textlink="">
        <xdr:nvSpPr>
          <xdr:cNvPr id="45" name="TextBox 44">
            <a:hlinkClick xmlns:r="http://schemas.openxmlformats.org/officeDocument/2006/relationships" r:id="rId7"/>
          </xdr:cNvPr>
          <xdr:cNvSpPr txBox="1"/>
        </xdr:nvSpPr>
        <xdr:spPr>
          <a:xfrm>
            <a:off x="12184229" y="1157931"/>
            <a:ext cx="1708684" cy="318857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Enter </a:t>
            </a:r>
            <a:r>
              <a:rPr lang="en-US" sz="1200" b="1" baseline="0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 </a:t>
            </a:r>
            <a:r>
              <a:rPr lang="en-US" sz="1200" b="1">
                <a:solidFill>
                  <a:schemeClr val="bg1"/>
                </a:solidFill>
                <a:latin typeface="Arial Unicode MS" pitchFamily="34" charset="-128"/>
                <a:ea typeface="Arial Unicode MS" pitchFamily="34" charset="-128"/>
                <a:cs typeface="Arial Unicode MS" pitchFamily="34" charset="-128"/>
              </a:rPr>
              <a:t>New  Product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llu V K" refreshedDate="45636.529041319445" createdVersion="3" refreshedVersion="3" minRefreshableVersion="3" recordCount="10">
  <cacheSource type="worksheet">
    <worksheetSource name="Inventory"/>
  </cacheSource>
  <cacheFields count="10">
    <cacheField name="S. No." numFmtId="0">
      <sharedItems containsSemiMixedTypes="0" containsString="0" containsNumber="1" containsInteger="1" minValue="1" maxValue="10"/>
    </cacheField>
    <cacheField name="Product ID" numFmtId="0">
      <sharedItems/>
    </cacheField>
    <cacheField name="Product Name" numFmtId="0">
      <sharedItems/>
    </cacheField>
    <cacheField name="Description" numFmtId="0">
      <sharedItems/>
    </cacheField>
    <cacheField name="Category" numFmtId="0">
      <sharedItems containsBlank="1" count="41">
        <s v="Electronics"/>
        <s v="Office Supplies"/>
        <s v="Kitchen Essential"/>
        <s v="fb" u="1"/>
        <m u="1"/>
        <s v="g" u="1"/>
        <s v="fd" u="1"/>
        <s v="fine" u="1"/>
        <s v="mhj" u="1"/>
        <s v="etyt" u="1"/>
        <s v="kjgr" u="1"/>
        <s v="huy" u="1"/>
        <s v="ger" u="1"/>
        <s v="great" u="1"/>
        <s v="gw" u="1"/>
        <s v="ft" u="1"/>
        <s v="dell" u="1"/>
        <s v="clothes" u="1"/>
        <s v="h" u="1"/>
        <s v="ij" u="1"/>
        <s v="rt" u="1"/>
        <s v="t" u="1"/>
        <s v="geger" u="1"/>
        <s v="jkl" u="1"/>
        <s v="wrh" u="1"/>
        <s v="awesome" u="1"/>
        <s v="jty" u="1"/>
        <s v="fgh" u="1"/>
        <s v="r" u="1"/>
        <s v="hmyjh" u="1"/>
        <s v="mm" u="1"/>
        <s v="asdg" u="1"/>
        <s v="good" u="1"/>
        <s v="m," u="1"/>
        <s v="i" u="1"/>
        <s v="mu" u="1"/>
        <s v="b" u="1"/>
        <s v="u" u="1"/>
        <s v="l;yo" u="1"/>
        <s v="n" u="1"/>
        <s v="Kitchen Supplies" u="1"/>
      </sharedItems>
    </cacheField>
    <cacheField name="Unit Price" numFmtId="164">
      <sharedItems containsSemiMixedTypes="0" containsString="0" containsNumber="1" containsInteger="1" minValue="120" maxValue="1800"/>
    </cacheField>
    <cacheField name="Reorder Level" numFmtId="1">
      <sharedItems containsSemiMixedTypes="0" containsString="0" containsNumber="1" containsInteger="1" minValue="10" maxValue="20"/>
    </cacheField>
    <cacheField name="Current Stock" numFmtId="1">
      <sharedItems containsSemiMixedTypes="0" containsString="0" containsNumber="1" containsInteger="1" minValue="0" maxValue="360"/>
    </cacheField>
    <cacheField name="Stock Value" numFmtId="164">
      <sharedItems containsSemiMixedTypes="0" containsString="0" containsNumber="1" containsInteger="1" minValue="0" maxValue="648000"/>
    </cacheField>
    <cacheField name="Status" numFmtId="0">
      <sharedItems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n v="1"/>
    <s v="P101"/>
    <s v="Bluetooth Speaker"/>
    <s v="Compact Wireless Speaker"/>
    <x v="0"/>
    <n v="1200"/>
    <n v="10"/>
    <n v="245"/>
    <n v="294000"/>
    <s v="In Stock"/>
  </r>
  <r>
    <n v="2"/>
    <s v="P102"/>
    <s v="Gel Pen Set"/>
    <s v="Black Ink"/>
    <x v="1"/>
    <n v="150"/>
    <n v="10"/>
    <n v="4"/>
    <n v="600"/>
    <s v="Low Stock"/>
  </r>
  <r>
    <n v="3"/>
    <s v="P103"/>
    <s v="Notepad(A5)"/>
    <s v="200 ruled pages"/>
    <x v="1"/>
    <n v="120"/>
    <n v="10"/>
    <n v="0"/>
    <n v="0"/>
    <s v="Out of Stock"/>
  </r>
  <r>
    <n v="4"/>
    <s v="P104"/>
    <s v="Knife Set"/>
    <s v="3 - Piece Stainless Steel"/>
    <x v="2"/>
    <n v="700"/>
    <n v="15"/>
    <n v="160"/>
    <n v="112000"/>
    <s v="In Stock"/>
  </r>
  <r>
    <n v="5"/>
    <s v="P105"/>
    <s v="Chooping Board"/>
    <s v="Anti Slip Easy Clean"/>
    <x v="2"/>
    <n v="300"/>
    <n v="20"/>
    <n v="7"/>
    <n v="2100"/>
    <s v="Low Stock"/>
  </r>
  <r>
    <n v="6"/>
    <s v="P106"/>
    <s v="Desk Organiser"/>
    <s v="Multi-Compartment Storage"/>
    <x v="1"/>
    <n v="450"/>
    <n v="10"/>
    <n v="38"/>
    <n v="17100"/>
    <s v="In Stock"/>
  </r>
  <r>
    <n v="7"/>
    <s v="P107"/>
    <s v="Wireless Earbuds"/>
    <s v="Noise-cancelling, lightweight"/>
    <x v="0"/>
    <n v="1800"/>
    <n v="10"/>
    <n v="360"/>
    <n v="648000"/>
    <s v="In Stock"/>
  </r>
  <r>
    <n v="8"/>
    <s v="P108"/>
    <s v="Spice Rack"/>
    <s v="12 jars, rotating design"/>
    <x v="2"/>
    <n v="1100"/>
    <n v="10"/>
    <n v="5"/>
    <n v="5500"/>
    <s v="Low Stock"/>
  </r>
  <r>
    <n v="9"/>
    <s v="P109"/>
    <s v="Power Bank"/>
    <s v="10,000mAh fast - charging"/>
    <x v="0"/>
    <n v="850"/>
    <n v="10"/>
    <n v="0"/>
    <n v="0"/>
    <s v="Out of Stock"/>
  </r>
  <r>
    <n v="10"/>
    <s v="P110"/>
    <s v="Non-Stick Fry Pan"/>
    <s v="24-cm, durable coating"/>
    <x v="2"/>
    <n v="900"/>
    <n v="10"/>
    <n v="5"/>
    <n v="4500"/>
    <s v="Low Stock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Category_CurrentStock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7" rowHeaderCaption="Category">
  <location ref="A3:B7" firstHeaderRow="1" firstDataRow="1" firstDataCol="1"/>
  <pivotFields count="10">
    <pivotField showAll="0"/>
    <pivotField showAll="0"/>
    <pivotField showAll="0"/>
    <pivotField showAll="0"/>
    <pivotField axis="axisRow" showAll="0">
      <items count="42">
        <item m="1" x="36"/>
        <item m="1" x="5"/>
        <item m="1" x="18"/>
        <item m="1" x="34"/>
        <item m="1" x="19"/>
        <item m="1" x="28"/>
        <item m="1" x="21"/>
        <item m="1" x="37"/>
        <item m="1" x="4"/>
        <item m="1" x="6"/>
        <item m="1" x="32"/>
        <item m="1" x="13"/>
        <item m="1" x="7"/>
        <item m="1" x="16"/>
        <item m="1" x="25"/>
        <item m="1" x="12"/>
        <item m="1" x="29"/>
        <item m="1" x="10"/>
        <item m="1" x="39"/>
        <item m="1" x="23"/>
        <item m="1" x="35"/>
        <item m="1" x="20"/>
        <item m="1" x="14"/>
        <item m="1" x="38"/>
        <item m="1" x="11"/>
        <item m="1" x="31"/>
        <item m="1" x="30"/>
        <item m="1" x="26"/>
        <item m="1" x="27"/>
        <item m="1" x="8"/>
        <item m="1" x="3"/>
        <item m="1" x="24"/>
        <item m="1" x="22"/>
        <item m="1" x="33"/>
        <item m="1" x="15"/>
        <item m="1" x="9"/>
        <item m="1" x="17"/>
        <item x="0"/>
        <item x="1"/>
        <item x="2"/>
        <item m="1" x="40"/>
        <item t="default"/>
      </items>
    </pivotField>
    <pivotField showAll="0"/>
    <pivotField showAll="0"/>
    <pivotField dataField="1" showAll="0"/>
    <pivotField showAll="0"/>
    <pivotField showAll="0"/>
  </pivotFields>
  <rowFields count="1">
    <field x="4"/>
  </rowFields>
  <rowItems count="4">
    <i>
      <x v="37"/>
    </i>
    <i>
      <x v="38"/>
    </i>
    <i>
      <x v="39"/>
    </i>
    <i t="grand">
      <x/>
    </i>
  </rowItems>
  <colItems count="1">
    <i/>
  </colItems>
  <dataFields count="1">
    <dataField name="Sum of Current Stock" fld="7" baseField="0" baseItem="0"/>
  </dataFields>
  <formats count="11">
    <format dxfId="56">
      <pivotArea outline="0" collapsedLevelsAreSubtotals="1" fieldPosition="0"/>
    </format>
    <format dxfId="55">
      <pivotArea dataOnly="0" labelOnly="1" outline="0" axis="axisValues" fieldPosition="0"/>
    </format>
    <format dxfId="54">
      <pivotArea outline="0" collapsedLevelsAreSubtotals="1" fieldPosition="0"/>
    </format>
    <format dxfId="53">
      <pivotArea dataOnly="0" labelOnly="1" outline="0" axis="axisValues" fieldPosition="0"/>
    </format>
    <format dxfId="52">
      <pivotArea field="4" type="button" dataOnly="0" labelOnly="1" outline="0" axis="axisRow" fieldPosition="0"/>
    </format>
    <format dxfId="51">
      <pivotArea dataOnly="0" labelOnly="1" fieldPosition="0">
        <references count="1">
          <reference field="4" count="0"/>
        </references>
      </pivotArea>
    </format>
    <format dxfId="50">
      <pivotArea dataOnly="0" labelOnly="1" grandRow="1" outline="0" fieldPosition="0"/>
    </format>
    <format dxfId="49">
      <pivotArea field="4" type="button" dataOnly="0" labelOnly="1" outline="0" axis="axisRow" fieldPosition="0"/>
    </format>
    <format dxfId="48">
      <pivotArea dataOnly="0" labelOnly="1" fieldPosition="0">
        <references count="1">
          <reference field="4" count="0"/>
        </references>
      </pivotArea>
    </format>
    <format dxfId="47">
      <pivotArea dataOnly="0" labelOnly="1" grandRow="1" outline="0" fieldPosition="0"/>
    </format>
    <format dxfId="46">
      <pivotArea type="all" dataOnly="0" outline="0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3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Inventory" displayName="Inventory" ref="C1:L11" totalsRowShown="0" headerRowDxfId="44" dataDxfId="42" headerRowBorderDxfId="43" tableBorderDxfId="41" totalsRowBorderDxfId="40">
  <tableColumns count="10">
    <tableColumn id="1" name="S. No." dataDxfId="39"/>
    <tableColumn id="2" name="Product ID" dataDxfId="38"/>
    <tableColumn id="3" name="Product Name" dataDxfId="37"/>
    <tableColumn id="4" name="Description" dataDxfId="36"/>
    <tableColumn id="5" name="Category" dataDxfId="35"/>
    <tableColumn id="6" name="Unit Price" dataDxfId="34"/>
    <tableColumn id="7" name="Reorder Level" dataDxfId="33"/>
    <tableColumn id="8" name="Current Stock" dataDxfId="32">
      <calculatedColumnFormula>SUMIFS(Purchase[Quantity],Purchase[Product ID],[Product ID])-SUMIFS(Sales[Quantity Sold],Sales[Product ID],[Product ID])</calculatedColumnFormula>
    </tableColumn>
    <tableColumn id="9" name="Stock Value" dataDxfId="31">
      <calculatedColumnFormula>Inventory[[#This Row],[Unit Price]]*Inventory[[#This Row],[Current Stock]]</calculatedColumnFormula>
    </tableColumn>
    <tableColumn id="10" name="Status" dataDxfId="30">
      <calculatedColumnFormula>IF([Current Stock]=0,"Out of Stock",IF([Current Stock]&lt;=[Reorder Level],"Low Stock","In Stock"))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Purchase" displayName="Purchase" ref="C1:L12" totalsRowShown="0" headerRowDxfId="29" dataDxfId="27" headerRowBorderDxfId="28" tableBorderDxfId="26" totalsRowBorderDxfId="25">
  <tableColumns count="10">
    <tableColumn id="1" name="S. No." dataDxfId="24"/>
    <tableColumn id="2" name="Date" dataDxfId="23"/>
    <tableColumn id="3" name="Supplier Name" dataDxfId="22"/>
    <tableColumn id="4" name="Product ID" dataDxfId="21"/>
    <tableColumn id="5" name="Product Name" dataDxfId="20"/>
    <tableColumn id="6" name="Description" dataDxfId="19"/>
    <tableColumn id="7" name="Category" dataDxfId="18"/>
    <tableColumn id="8" name="Quantity" dataDxfId="17"/>
    <tableColumn id="9" name="Unit Cost" dataDxfId="16"/>
    <tableColumn id="10" name="Total Cost" dataDxfId="1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Sales" displayName="Sales" ref="C1:L18" totalsRowShown="0" headerRowDxfId="14" dataDxfId="12" headerRowBorderDxfId="13" tableBorderDxfId="11" totalsRowBorderDxfId="10">
  <tableColumns count="10">
    <tableColumn id="1" name="S. No." dataDxfId="9"/>
    <tableColumn id="2" name="Date" dataDxfId="8"/>
    <tableColumn id="3" name="Customer ID" dataDxfId="7"/>
    <tableColumn id="4" name="Product ID" dataDxfId="6"/>
    <tableColumn id="5" name="Product Name" dataDxfId="5"/>
    <tableColumn id="6" name="Description" dataDxfId="4"/>
    <tableColumn id="7" name="Category" dataDxfId="3"/>
    <tableColumn id="8" name="Quantity Sold" dataDxfId="2"/>
    <tableColumn id="9" name="Selling Price" dataDxfId="1"/>
    <tableColumn id="10" name="Total Sale Amount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/>
  <dimension ref="A1:N30"/>
  <sheetViews>
    <sheetView showGridLines="0" tabSelected="1" zoomScale="95" zoomScaleNormal="95" workbookViewId="0"/>
  </sheetViews>
  <sheetFormatPr defaultColWidth="0" defaultRowHeight="15" zeroHeight="1"/>
  <cols>
    <col min="1" max="1" width="24.7109375" style="33" customWidth="1"/>
    <col min="2" max="2" width="3.5703125" style="33" customWidth="1"/>
    <col min="3" max="3" width="34.7109375" style="6" customWidth="1"/>
    <col min="4" max="4" width="2.7109375" style="6" customWidth="1"/>
    <col min="5" max="5" width="34.7109375" style="6" customWidth="1"/>
    <col min="6" max="6" width="2.7109375" style="6" customWidth="1"/>
    <col min="7" max="7" width="34.7109375" style="6" customWidth="1"/>
    <col min="8" max="8" width="2.7109375" style="6" customWidth="1"/>
    <col min="9" max="9" width="34.7109375" style="6" customWidth="1"/>
    <col min="10" max="10" width="4.140625" style="6" customWidth="1"/>
    <col min="11" max="14" width="0" style="6" hidden="1" customWidth="1"/>
    <col min="15" max="16384" width="9.140625" style="6" hidden="1"/>
  </cols>
  <sheetData>
    <row r="1" spans="1:14" ht="14.1" customHeight="1">
      <c r="A1" s="32"/>
      <c r="C1" s="81" t="s">
        <v>38</v>
      </c>
      <c r="D1" s="81"/>
      <c r="E1" s="81"/>
      <c r="F1" s="81"/>
      <c r="G1" s="81"/>
      <c r="H1" s="81"/>
      <c r="I1" s="81"/>
      <c r="J1" s="33"/>
    </row>
    <row r="2" spans="1:14" ht="14.1" customHeight="1">
      <c r="A2" s="32"/>
      <c r="C2" s="81"/>
      <c r="D2" s="81"/>
      <c r="E2" s="81"/>
      <c r="F2" s="81"/>
      <c r="G2" s="81"/>
      <c r="H2" s="81"/>
      <c r="I2" s="81"/>
      <c r="J2" s="33"/>
    </row>
    <row r="3" spans="1:14" ht="12" customHeight="1">
      <c r="A3" s="32"/>
      <c r="C3" s="74"/>
      <c r="D3" s="74"/>
      <c r="E3" s="74"/>
      <c r="F3" s="74"/>
      <c r="G3" s="74"/>
      <c r="H3" s="74"/>
      <c r="I3" s="74"/>
      <c r="J3" s="33"/>
    </row>
    <row r="4" spans="1:14" ht="18.95" customHeight="1">
      <c r="A4" s="32"/>
      <c r="C4" s="83">
        <f>COUNTA(Inventory!D2:D11)</f>
        <v>10</v>
      </c>
      <c r="D4" s="33"/>
      <c r="E4" s="83" t="str">
        <f>"₹"&amp;TEXT(SUM(Inventory!K2:K11),"#,##0")</f>
        <v>₹1,083,800</v>
      </c>
      <c r="F4" s="33"/>
      <c r="G4" s="83">
        <f>COUNTIF(Inventory!L2:L11, "Out of Stock")</f>
        <v>2</v>
      </c>
      <c r="H4" s="33"/>
      <c r="I4" s="83">
        <f>COUNTIF(Inventory!L2:L11, "Low Stock")</f>
        <v>4</v>
      </c>
      <c r="J4" s="33"/>
      <c r="K4" s="16"/>
      <c r="L4" s="16"/>
      <c r="M4" s="16"/>
      <c r="N4" s="16"/>
    </row>
    <row r="5" spans="1:14" ht="18.95" customHeight="1">
      <c r="A5" s="32"/>
      <c r="C5" s="84"/>
      <c r="D5" s="33"/>
      <c r="E5" s="84"/>
      <c r="F5" s="33"/>
      <c r="G5" s="84"/>
      <c r="H5" s="33"/>
      <c r="I5" s="84"/>
      <c r="J5" s="33"/>
      <c r="K5" s="16"/>
      <c r="L5" s="16"/>
      <c r="M5" s="16"/>
      <c r="N5" s="16"/>
    </row>
    <row r="6" spans="1:14" ht="18.95" customHeight="1">
      <c r="A6" s="32"/>
      <c r="C6" s="85"/>
      <c r="D6" s="33"/>
      <c r="E6" s="85"/>
      <c r="F6" s="33"/>
      <c r="G6" s="85"/>
      <c r="H6" s="33"/>
      <c r="I6" s="85"/>
      <c r="J6" s="33"/>
      <c r="K6" s="16"/>
      <c r="L6" s="16"/>
      <c r="M6" s="16"/>
      <c r="N6" s="16"/>
    </row>
    <row r="7" spans="1:14" ht="15" customHeight="1">
      <c r="A7" s="32"/>
      <c r="C7" s="79" t="s">
        <v>9</v>
      </c>
      <c r="D7" s="33"/>
      <c r="E7" s="79" t="s">
        <v>10</v>
      </c>
      <c r="F7" s="33"/>
      <c r="G7" s="79" t="s">
        <v>45</v>
      </c>
      <c r="H7" s="33"/>
      <c r="I7" s="79" t="s">
        <v>46</v>
      </c>
      <c r="J7" s="33"/>
      <c r="K7" s="16"/>
      <c r="L7" s="16"/>
      <c r="M7" s="16"/>
      <c r="N7" s="16"/>
    </row>
    <row r="8" spans="1:14" ht="15" customHeight="1">
      <c r="A8" s="32"/>
      <c r="C8" s="80"/>
      <c r="D8" s="33"/>
      <c r="E8" s="80"/>
      <c r="F8" s="33"/>
      <c r="G8" s="80"/>
      <c r="H8" s="33"/>
      <c r="I8" s="80"/>
      <c r="J8" s="33"/>
      <c r="K8" s="16"/>
      <c r="L8" s="16"/>
      <c r="M8" s="16"/>
      <c r="N8" s="16"/>
    </row>
    <row r="9" spans="1:14">
      <c r="A9" s="32"/>
      <c r="C9" s="33"/>
      <c r="D9" s="33"/>
      <c r="E9" s="33"/>
      <c r="F9" s="33"/>
      <c r="G9" s="33"/>
      <c r="H9" s="33"/>
      <c r="I9" s="33"/>
      <c r="J9" s="33"/>
    </row>
    <row r="10" spans="1:14">
      <c r="A10" s="32"/>
      <c r="C10" s="33"/>
      <c r="D10" s="33"/>
      <c r="E10" s="33"/>
      <c r="F10" s="33"/>
      <c r="G10" s="33"/>
      <c r="H10" s="33"/>
      <c r="I10" s="33"/>
      <c r="J10" s="33"/>
    </row>
    <row r="11" spans="1:14">
      <c r="A11" s="32"/>
      <c r="C11" s="33"/>
      <c r="D11" s="33"/>
      <c r="E11" s="33"/>
      <c r="F11" s="33"/>
      <c r="G11" s="33"/>
      <c r="H11" s="33"/>
      <c r="I11" s="33"/>
      <c r="J11" s="33"/>
    </row>
    <row r="12" spans="1:14" ht="15" customHeight="1">
      <c r="A12" s="32"/>
      <c r="G12" s="78" t="str">
        <f>IF(COUNTA(Inventory[Product Name])=0,"",IFERROR(INDEX(Inventory[Product Name],MATCH(Dashboard!I12,Inventory[Product Name],0))&amp;"'s",""))</f>
        <v>Desk Organiser's</v>
      </c>
      <c r="H12" s="78"/>
      <c r="I12" s="46" t="s">
        <v>72</v>
      </c>
      <c r="J12" s="33"/>
    </row>
    <row r="13" spans="1:14" ht="16.5" customHeight="1">
      <c r="A13" s="32"/>
      <c r="G13" s="78"/>
      <c r="H13" s="78"/>
      <c r="I13" s="7"/>
      <c r="J13" s="33"/>
    </row>
    <row r="14" spans="1:14">
      <c r="A14" s="32"/>
      <c r="G14" s="82" t="str">
        <f>IF(COUNTA(Inventory[Product Name])=0,"",IFERROR("Current stock is "&amp;TEXT(INDEX(Inventory[Current Stock],MATCH(Dashboard!I12,Inventory[Product Name],0)),"0")&amp;" units and stock value is ₹"&amp;TEXT(INDEX(Inventory[Current Stock],MATCH(Dashboard!I12,Inventory[Product Name],0)),"#,##0")&amp;".",""))</f>
        <v>Current stock is 38 units and stock value is ₹38.</v>
      </c>
      <c r="H14" s="82"/>
      <c r="I14" s="82"/>
      <c r="J14" s="33"/>
    </row>
    <row r="15" spans="1:14" ht="15" customHeight="1">
      <c r="A15" s="32"/>
      <c r="G15" s="82"/>
      <c r="H15" s="82"/>
      <c r="I15" s="82"/>
      <c r="J15" s="33"/>
    </row>
    <row r="16" spans="1:14">
      <c r="A16" s="32"/>
      <c r="G16" s="47"/>
      <c r="H16" s="47"/>
      <c r="I16" s="47"/>
      <c r="J16" s="33"/>
    </row>
    <row r="17" spans="1:10">
      <c r="A17" s="32"/>
      <c r="G17" s="7"/>
      <c r="H17" s="7"/>
      <c r="I17" s="7"/>
      <c r="J17" s="33"/>
    </row>
    <row r="18" spans="1:10">
      <c r="A18" s="32"/>
      <c r="G18" s="7"/>
      <c r="H18" s="7"/>
      <c r="I18" s="7"/>
      <c r="J18" s="33"/>
    </row>
    <row r="19" spans="1:10">
      <c r="A19" s="32"/>
      <c r="G19" s="7"/>
      <c r="H19" s="7"/>
      <c r="I19" s="7"/>
      <c r="J19" s="33"/>
    </row>
    <row r="20" spans="1:10">
      <c r="A20" s="32"/>
      <c r="G20" s="7"/>
      <c r="H20" s="7"/>
      <c r="I20" s="7"/>
      <c r="J20" s="33"/>
    </row>
    <row r="21" spans="1:10">
      <c r="A21" s="32"/>
      <c r="G21" s="7"/>
      <c r="H21" s="7"/>
      <c r="I21" s="7"/>
      <c r="J21" s="33"/>
    </row>
    <row r="22" spans="1:10" ht="22.5">
      <c r="A22" s="32"/>
      <c r="G22" s="35" t="str">
        <f>IF(COUNTA(Inventory[Product Name])=0, "", IFERROR(IF(INDEX(Inventory[Current Stock],MATCH(Dashboard!I12,Inventory[Product Name],0)) &gt; INDEX(Inventory[Reorder Level],MATCH(Dashboard!I12,Inventory[Product Name],0)), "Relax! Stock is above re-order level.", "Do something, Stock is below re-order level."), ""))</f>
        <v>Relax! Stock is above re-order level.</v>
      </c>
      <c r="H22" s="48"/>
      <c r="I22" s="48"/>
      <c r="J22" s="33"/>
    </row>
    <row r="23" spans="1:10" ht="16.5" customHeight="1">
      <c r="A23" s="32"/>
      <c r="G23" s="48"/>
      <c r="H23" s="48"/>
      <c r="I23" s="48"/>
      <c r="J23" s="33"/>
    </row>
    <row r="24" spans="1:10" ht="15" customHeight="1">
      <c r="A24" s="32"/>
      <c r="J24" s="33"/>
    </row>
    <row r="25" spans="1:10" hidden="1">
      <c r="A25" s="32"/>
    </row>
    <row r="26" spans="1:10" hidden="1">
      <c r="A26" s="32"/>
    </row>
    <row r="27" spans="1:10" hidden="1">
      <c r="A27" s="32"/>
    </row>
    <row r="28" spans="1:10" hidden="1">
      <c r="A28" s="32"/>
    </row>
    <row r="29" spans="1:10" hidden="1">
      <c r="A29" s="32"/>
    </row>
    <row r="30" spans="1:10" hidden="1">
      <c r="A30" s="32"/>
    </row>
  </sheetData>
  <sheetProtection password="8410" sheet="1" objects="1" scenarios="1"/>
  <mergeCells count="11">
    <mergeCell ref="G12:H13"/>
    <mergeCell ref="G7:G8"/>
    <mergeCell ref="I7:I8"/>
    <mergeCell ref="C1:I2"/>
    <mergeCell ref="G14:I15"/>
    <mergeCell ref="C4:C6"/>
    <mergeCell ref="C7:C8"/>
    <mergeCell ref="E4:E6"/>
    <mergeCell ref="E7:E8"/>
    <mergeCell ref="G4:G6"/>
    <mergeCell ref="I4:I6"/>
  </mergeCells>
  <conditionalFormatting sqref="G22:I23">
    <cfRule type="cellIs" dxfId="58" priority="1" operator="equal">
      <formula>"Do something, Stock is below re-order level."</formula>
    </cfRule>
    <cfRule type="cellIs" dxfId="57" priority="2" operator="equal">
      <formula>"Relax! Stock is above re-order level."</formula>
    </cfRule>
  </conditionalFormatting>
  <dataValidations count="1">
    <dataValidation type="list" allowBlank="1" showInputMessage="1" showErrorMessage="1" sqref="I12">
      <formula1>INDIRECT("Inventory[Product Name]")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9"/>
  <dimension ref="A2:O13"/>
  <sheetViews>
    <sheetView workbookViewId="0">
      <selection activeCell="H10" sqref="H10"/>
    </sheetView>
  </sheetViews>
  <sheetFormatPr defaultRowHeight="15"/>
  <cols>
    <col min="1" max="1" width="16.140625" style="6" bestFit="1" customWidth="1"/>
    <col min="2" max="2" width="19.7109375" style="6" bestFit="1" customWidth="1"/>
    <col min="3" max="3" width="6.140625" style="6" customWidth="1"/>
    <col min="4" max="4" width="22.140625" style="6" bestFit="1" customWidth="1"/>
    <col min="5" max="5" width="14.42578125" style="6" customWidth="1"/>
    <col min="6" max="6" width="5.7109375" style="6" customWidth="1"/>
    <col min="7" max="7" width="15.85546875" style="6" bestFit="1" customWidth="1"/>
    <col min="8" max="8" width="12.85546875" style="6" bestFit="1" customWidth="1"/>
    <col min="9" max="9" width="13.42578125" style="6" bestFit="1" customWidth="1"/>
    <col min="10" max="16384" width="9.140625" style="6"/>
  </cols>
  <sheetData>
    <row r="2" spans="1:15">
      <c r="D2" s="10" t="s">
        <v>41</v>
      </c>
      <c r="E2" s="19">
        <f ca="1">DATE(YEAR(TODAY()),MONTH(TODAY()),1)</f>
        <v>45627</v>
      </c>
      <c r="G2" s="11" t="s">
        <v>1</v>
      </c>
      <c r="H2" s="11" t="s">
        <v>9</v>
      </c>
      <c r="I2" s="11" t="s">
        <v>3</v>
      </c>
      <c r="M2" s="7"/>
    </row>
    <row r="3" spans="1:15" ht="15.75" thickBot="1">
      <c r="A3" s="12" t="s">
        <v>6</v>
      </c>
      <c r="B3" s="13" t="s">
        <v>40</v>
      </c>
      <c r="D3" s="14" t="s">
        <v>42</v>
      </c>
      <c r="E3" s="20">
        <f ca="1">EOMONTH(TODAY(),0)</f>
        <v>45657</v>
      </c>
      <c r="G3" s="23" t="str">
        <f>IF(COUNTA(Inventory[Product Name])=0, "", IFERROR(INDEX(Inventory[Product Name],MATCH(Dashboard!I12,Inventory[Product Name],0)), ""))</f>
        <v>Desk Organiser</v>
      </c>
      <c r="H3" s="24">
        <f>IF(COUNTA(Inventory[Product Name])=0, "", IFERROR(INDEX(Inventory[Current Stock],MATCH(Dashboard!I12,Inventory[Product Name],0)), ""))</f>
        <v>38</v>
      </c>
      <c r="I3" s="24">
        <f>IF(COUNTA(Inventory[Product Name])=0, "", IFERROR(INDEX(Inventory[Reorder Level],MATCH(Dashboard!I12,Inventory[Product Name],0)), ""))</f>
        <v>10</v>
      </c>
      <c r="M3" s="7"/>
    </row>
    <row r="4" spans="1:15">
      <c r="A4" s="13" t="s">
        <v>48</v>
      </c>
      <c r="B4" s="15">
        <v>605</v>
      </c>
      <c r="E4" s="33"/>
      <c r="L4" s="6">
        <v>1450</v>
      </c>
    </row>
    <row r="5" spans="1:15" ht="15" customHeight="1">
      <c r="A5" s="13" t="s">
        <v>54</v>
      </c>
      <c r="B5" s="15">
        <v>42</v>
      </c>
      <c r="D5" s="7" t="s">
        <v>43</v>
      </c>
      <c r="E5" s="21">
        <f ca="1">SUMIFS(Purchase[Quantity],Purchase[Date],"&gt;="&amp;Calculation!$E$2,Purchase[Date],"&lt;="&amp;Calculation!$E$3)</f>
        <v>350</v>
      </c>
      <c r="I5" s="16"/>
      <c r="J5" s="16"/>
      <c r="K5" s="16"/>
      <c r="L5" s="34">
        <v>300</v>
      </c>
      <c r="N5" s="16"/>
      <c r="O5" s="16"/>
    </row>
    <row r="6" spans="1:15" ht="15.75" customHeight="1" thickBot="1">
      <c r="A6" s="13" t="s">
        <v>66</v>
      </c>
      <c r="B6" s="15">
        <v>177</v>
      </c>
      <c r="D6" s="17" t="s">
        <v>44</v>
      </c>
      <c r="E6" s="22">
        <f ca="1">SUMIFS(Sales[Quantity Sold],Sales[Date],"&gt;="&amp;Calculation!$E$2,Sales[Date],"&lt;="&amp;Calculation!$E$3)</f>
        <v>160</v>
      </c>
      <c r="G6" s="18"/>
      <c r="H6" s="18"/>
      <c r="I6" s="16"/>
      <c r="J6" s="16"/>
      <c r="K6" s="16"/>
      <c r="L6" s="16">
        <f>L4-L5</f>
        <v>1150</v>
      </c>
      <c r="N6" s="16"/>
      <c r="O6" s="16"/>
    </row>
    <row r="7" spans="1:15">
      <c r="A7" s="13" t="s">
        <v>39</v>
      </c>
      <c r="B7" s="15">
        <v>824</v>
      </c>
      <c r="G7" s="18"/>
      <c r="H7" s="18"/>
      <c r="I7" s="16"/>
      <c r="J7" s="16"/>
      <c r="K7" s="16"/>
      <c r="L7" s="16"/>
      <c r="N7" s="16"/>
      <c r="O7" s="16"/>
    </row>
    <row r="8" spans="1:15">
      <c r="A8"/>
      <c r="B8"/>
      <c r="G8" s="18"/>
      <c r="H8" s="18"/>
      <c r="I8" s="16"/>
      <c r="J8" s="16"/>
      <c r="K8" s="16"/>
      <c r="L8" s="16"/>
      <c r="M8" s="16"/>
      <c r="N8" s="16"/>
      <c r="O8" s="16"/>
    </row>
    <row r="9" spans="1:15">
      <c r="A9"/>
      <c r="B9"/>
      <c r="E9" s="59"/>
      <c r="G9" s="18"/>
      <c r="H9" s="18"/>
      <c r="I9" s="18"/>
      <c r="J9" s="18"/>
      <c r="K9" s="16"/>
      <c r="L9" s="16"/>
      <c r="N9" s="16"/>
      <c r="O9" s="16"/>
    </row>
    <row r="10" spans="1:15">
      <c r="A10"/>
      <c r="B10"/>
      <c r="E10" s="59"/>
      <c r="G10" s="18"/>
      <c r="H10" s="18"/>
      <c r="I10" s="18"/>
      <c r="J10" s="18"/>
      <c r="K10" s="16"/>
      <c r="L10" s="16"/>
      <c r="M10" s="16"/>
      <c r="N10" s="16"/>
      <c r="O10" s="16"/>
    </row>
    <row r="11" spans="1:15">
      <c r="A11"/>
      <c r="B11"/>
      <c r="E11" s="59"/>
      <c r="G11" s="18"/>
      <c r="H11" s="18"/>
      <c r="I11" s="18"/>
      <c r="J11" s="18"/>
    </row>
    <row r="12" spans="1:15">
      <c r="A12"/>
      <c r="B12"/>
      <c r="E12" s="59"/>
      <c r="G12" s="18"/>
      <c r="H12" s="18"/>
      <c r="I12" s="18"/>
      <c r="J12" s="18"/>
    </row>
    <row r="13" spans="1:15">
      <c r="G13" s="18"/>
      <c r="H13" s="18"/>
      <c r="I13" s="18"/>
      <c r="J13" s="18"/>
    </row>
  </sheetData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M19"/>
  <sheetViews>
    <sheetView showGridLines="0" workbookViewId="0"/>
  </sheetViews>
  <sheetFormatPr defaultColWidth="0" defaultRowHeight="15" zeroHeight="1"/>
  <cols>
    <col min="1" max="1" width="24.7109375" style="33" customWidth="1"/>
    <col min="2" max="2" width="9.140625" style="33" customWidth="1"/>
    <col min="3" max="3" width="25.7109375" style="33" customWidth="1"/>
    <col min="4" max="4" width="26.85546875" style="33" customWidth="1"/>
    <col min="5" max="5" width="40.42578125" style="33" customWidth="1"/>
    <col min="6" max="6" width="7.42578125" style="50" customWidth="1"/>
    <col min="7" max="7" width="9.140625" style="50" customWidth="1"/>
    <col min="8" max="8" width="10.7109375" style="50" bestFit="1" customWidth="1"/>
    <col min="9" max="9" width="9.5703125" style="50" customWidth="1"/>
    <col min="10" max="10" width="11.140625" style="6" hidden="1" customWidth="1"/>
    <col min="11" max="11" width="9.140625" style="6" hidden="1" customWidth="1"/>
    <col min="12" max="12" width="9.5703125" style="6" hidden="1" customWidth="1"/>
    <col min="13" max="13" width="13.42578125" style="6" hidden="1" customWidth="1"/>
    <col min="14" max="16384" width="9.140625" style="6" hidden="1"/>
  </cols>
  <sheetData>
    <row r="1" spans="1:9" s="33" customFormat="1">
      <c r="A1" s="56"/>
      <c r="B1" s="50"/>
      <c r="C1" s="50"/>
      <c r="D1" s="50"/>
      <c r="E1" s="50"/>
      <c r="F1" s="50"/>
      <c r="G1" s="50"/>
      <c r="H1" s="50"/>
      <c r="I1" s="50"/>
    </row>
    <row r="2" spans="1:9" s="33" customFormat="1" ht="31.5" customHeight="1">
      <c r="A2" s="56"/>
      <c r="B2" s="50"/>
      <c r="C2" s="50"/>
      <c r="D2" s="86" t="s">
        <v>22</v>
      </c>
      <c r="E2" s="86"/>
      <c r="F2" s="50"/>
      <c r="G2" s="50"/>
      <c r="H2" s="50"/>
      <c r="I2" s="50"/>
    </row>
    <row r="3" spans="1:9" s="33" customFormat="1">
      <c r="A3" s="56"/>
      <c r="B3" s="50"/>
      <c r="C3" s="50"/>
      <c r="D3" s="50"/>
      <c r="E3" s="50"/>
      <c r="F3" s="50"/>
      <c r="G3" s="50"/>
      <c r="H3" s="50"/>
      <c r="I3" s="50"/>
    </row>
    <row r="4" spans="1:9" s="33" customFormat="1" ht="30" customHeight="1">
      <c r="A4" s="56"/>
      <c r="B4" s="50"/>
      <c r="C4" s="50"/>
      <c r="D4" s="57" t="s">
        <v>12</v>
      </c>
      <c r="E4" s="55">
        <v>10</v>
      </c>
      <c r="F4" s="50"/>
      <c r="G4" s="50"/>
      <c r="H4" s="50"/>
      <c r="I4" s="50"/>
    </row>
    <row r="5" spans="1:9" ht="30" customHeight="1">
      <c r="A5" s="56"/>
      <c r="B5" s="50"/>
      <c r="C5" s="50"/>
      <c r="D5" s="57" t="s">
        <v>13</v>
      </c>
      <c r="E5" s="49"/>
    </row>
    <row r="6" spans="1:9" ht="30" customHeight="1">
      <c r="A6" s="56"/>
      <c r="B6" s="50"/>
      <c r="C6" s="75"/>
      <c r="D6" s="57" t="s">
        <v>14</v>
      </c>
      <c r="E6" s="49"/>
    </row>
    <row r="7" spans="1:9" ht="30" customHeight="1">
      <c r="A7" s="56"/>
      <c r="B7" s="50"/>
      <c r="C7" s="75"/>
      <c r="D7" s="57" t="s">
        <v>15</v>
      </c>
      <c r="E7" s="49"/>
    </row>
    <row r="8" spans="1:9" ht="30" customHeight="1">
      <c r="A8" s="56"/>
      <c r="B8" s="50"/>
      <c r="C8" s="75"/>
      <c r="D8" s="57" t="s">
        <v>16</v>
      </c>
      <c r="E8" s="49"/>
    </row>
    <row r="9" spans="1:9" ht="30" customHeight="1">
      <c r="A9" s="56"/>
      <c r="B9" s="50"/>
      <c r="C9" s="50"/>
      <c r="D9" s="57" t="s">
        <v>17</v>
      </c>
      <c r="E9" s="29"/>
      <c r="H9" s="76"/>
      <c r="I9" s="76"/>
    </row>
    <row r="10" spans="1:9" ht="30" customHeight="1">
      <c r="A10" s="56"/>
      <c r="B10" s="50"/>
      <c r="C10" s="50"/>
      <c r="D10" s="57" t="s">
        <v>18</v>
      </c>
      <c r="E10" s="28"/>
      <c r="H10" s="76"/>
      <c r="I10" s="76"/>
    </row>
    <row r="11" spans="1:9" ht="18.75">
      <c r="A11" s="56"/>
      <c r="B11" s="50"/>
      <c r="C11" s="50"/>
      <c r="D11" s="50"/>
      <c r="E11" s="77"/>
      <c r="H11" s="76"/>
      <c r="I11" s="76"/>
    </row>
    <row r="12" spans="1:9" ht="18.75">
      <c r="A12" s="56"/>
      <c r="B12" s="50"/>
      <c r="C12" s="50"/>
      <c r="D12" s="50"/>
      <c r="E12" s="77"/>
    </row>
    <row r="13" spans="1:9">
      <c r="A13" s="56"/>
      <c r="B13" s="50"/>
      <c r="C13" s="50"/>
      <c r="D13" s="50"/>
      <c r="E13" s="50"/>
    </row>
    <row r="14" spans="1:9">
      <c r="A14" s="56"/>
      <c r="B14" s="50"/>
      <c r="C14" s="50"/>
      <c r="D14" s="50"/>
      <c r="E14" s="50"/>
    </row>
    <row r="15" spans="1:9">
      <c r="A15" s="56"/>
      <c r="B15" s="50"/>
      <c r="C15" s="50"/>
      <c r="D15" s="50"/>
      <c r="E15" s="50"/>
    </row>
    <row r="16" spans="1:9" hidden="1">
      <c r="A16" s="32"/>
    </row>
    <row r="17" spans="1:1" hidden="1">
      <c r="A17" s="32"/>
    </row>
    <row r="18" spans="1:1" hidden="1">
      <c r="A18" s="32"/>
    </row>
    <row r="19" spans="1:1" hidden="1">
      <c r="A19" s="32"/>
    </row>
  </sheetData>
  <sheetProtection password="8410" sheet="1" objects="1" scenarios="1"/>
  <mergeCells count="1">
    <mergeCell ref="D2:E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N19"/>
  <sheetViews>
    <sheetView showGridLines="0" workbookViewId="0"/>
  </sheetViews>
  <sheetFormatPr defaultColWidth="0" defaultRowHeight="15" zeroHeight="1"/>
  <cols>
    <col min="1" max="1" width="24.7109375" style="33" customWidth="1"/>
    <col min="2" max="2" width="9.140625" style="33" customWidth="1"/>
    <col min="3" max="3" width="25.7109375" style="33" customWidth="1"/>
    <col min="4" max="4" width="26.85546875" style="33" customWidth="1"/>
    <col min="5" max="5" width="40.42578125" style="33" customWidth="1"/>
    <col min="6" max="6" width="5.5703125" style="33" customWidth="1"/>
    <col min="7" max="7" width="7.85546875" style="33" customWidth="1"/>
    <col min="8" max="9" width="9.140625" style="33" customWidth="1"/>
    <col min="10" max="10" width="14.28515625" style="6" hidden="1" customWidth="1"/>
    <col min="11" max="11" width="13.7109375" style="6" hidden="1" customWidth="1"/>
    <col min="12" max="12" width="11.140625" style="6" hidden="1" customWidth="1"/>
    <col min="13" max="13" width="9.140625" style="6" hidden="1" customWidth="1"/>
    <col min="14" max="14" width="18.5703125" style="6" hidden="1" customWidth="1"/>
    <col min="15" max="16384" width="9.140625" style="6" hidden="1"/>
  </cols>
  <sheetData>
    <row r="1" spans="1:9" s="50" customFormat="1">
      <c r="A1" s="32"/>
      <c r="B1" s="33"/>
      <c r="C1" s="33"/>
      <c r="D1" s="33"/>
      <c r="E1" s="33"/>
      <c r="F1" s="33"/>
      <c r="G1" s="33"/>
      <c r="H1" s="33"/>
      <c r="I1" s="33"/>
    </row>
    <row r="2" spans="1:9" s="50" customFormat="1" ht="31.5" customHeight="1">
      <c r="A2" s="32"/>
      <c r="B2" s="33"/>
      <c r="C2" s="33"/>
      <c r="D2" s="87" t="s">
        <v>24</v>
      </c>
      <c r="E2" s="87"/>
      <c r="F2" s="33"/>
      <c r="G2" s="33"/>
      <c r="H2" s="33"/>
      <c r="I2" s="33"/>
    </row>
    <row r="3" spans="1:9" s="50" customFormat="1">
      <c r="A3" s="32"/>
      <c r="B3" s="33"/>
      <c r="C3" s="33"/>
      <c r="D3" s="33"/>
      <c r="E3" s="33"/>
      <c r="F3" s="33"/>
      <c r="G3" s="33"/>
      <c r="H3" s="33"/>
      <c r="I3" s="33"/>
    </row>
    <row r="4" spans="1:9" s="50" customFormat="1" ht="24.95" customHeight="1">
      <c r="A4" s="32"/>
      <c r="B4" s="33"/>
      <c r="C4" s="33"/>
      <c r="D4" s="51" t="s">
        <v>12</v>
      </c>
      <c r="E4" s="30">
        <v>11</v>
      </c>
      <c r="F4" s="33"/>
      <c r="G4" s="33"/>
      <c r="H4" s="33"/>
      <c r="I4" s="33"/>
    </row>
    <row r="5" spans="1:9" ht="24.95" customHeight="1">
      <c r="A5" s="32"/>
      <c r="D5" s="51" t="s">
        <v>19</v>
      </c>
      <c r="E5" s="26"/>
    </row>
    <row r="6" spans="1:9" ht="24.95" customHeight="1">
      <c r="A6" s="32"/>
      <c r="D6" s="51" t="s">
        <v>20</v>
      </c>
      <c r="E6" s="27"/>
    </row>
    <row r="7" spans="1:9" ht="24.95" customHeight="1">
      <c r="A7" s="32"/>
      <c r="D7" s="51" t="s">
        <v>13</v>
      </c>
      <c r="E7" s="25"/>
    </row>
    <row r="8" spans="1:9" ht="24.95" customHeight="1">
      <c r="A8" s="32"/>
      <c r="D8" s="51" t="s">
        <v>14</v>
      </c>
      <c r="E8" s="30" t="str">
        <f>IFERROR(INDEX(Inventory[Product Name],MATCH(PurchaseEntry!E7,Inventory[Product ID],0),0),"")</f>
        <v/>
      </c>
    </row>
    <row r="9" spans="1:9" ht="24.95" customHeight="1">
      <c r="A9" s="32"/>
      <c r="D9" s="51" t="s">
        <v>15</v>
      </c>
      <c r="E9" s="30" t="str">
        <f>IFERROR(INDEX(Inventory[Description],MATCH(PurchaseEntry!E7,Inventory[Product ID],0),0),"")</f>
        <v/>
      </c>
    </row>
    <row r="10" spans="1:9" ht="24.95" customHeight="1">
      <c r="A10" s="32"/>
      <c r="D10" s="51" t="s">
        <v>16</v>
      </c>
      <c r="E10" s="30" t="str">
        <f>IFERROR(INDEX(Inventory[Category],MATCH(PurchaseEntry!E7,Inventory[Product ID],0),0),"")</f>
        <v/>
      </c>
    </row>
    <row r="11" spans="1:9" ht="24.95" customHeight="1">
      <c r="A11" s="32"/>
      <c r="D11" s="51" t="s">
        <v>28</v>
      </c>
      <c r="E11" s="28"/>
    </row>
    <row r="12" spans="1:9" ht="24.95" customHeight="1">
      <c r="A12" s="32"/>
      <c r="D12" s="51" t="s">
        <v>35</v>
      </c>
      <c r="E12" s="29"/>
    </row>
    <row r="13" spans="1:9" ht="24.95" customHeight="1">
      <c r="A13" s="32"/>
      <c r="D13" s="51" t="s">
        <v>36</v>
      </c>
      <c r="E13" s="31">
        <f>E11*E12</f>
        <v>0</v>
      </c>
    </row>
    <row r="14" spans="1:9">
      <c r="A14" s="32"/>
    </row>
    <row r="15" spans="1:9">
      <c r="A15" s="32"/>
    </row>
    <row r="16" spans="1:9">
      <c r="A16" s="32"/>
    </row>
    <row r="17" spans="1:1" hidden="1">
      <c r="A17" s="32"/>
    </row>
    <row r="18" spans="1:1" hidden="1">
      <c r="A18" s="32"/>
    </row>
    <row r="19" spans="1:1" hidden="1">
      <c r="A19" s="32"/>
    </row>
  </sheetData>
  <sheetProtection password="8410" sheet="1" objects="1" scenarios="1"/>
  <mergeCells count="1">
    <mergeCell ref="D2:E2"/>
  </mergeCells>
  <dataValidations count="1">
    <dataValidation type="list" allowBlank="1" showInputMessage="1" showErrorMessage="1" sqref="E7">
      <formula1>INDIRECT("Inventory[Product ID]")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P19"/>
  <sheetViews>
    <sheetView showGridLines="0" zoomScaleNormal="100" workbookViewId="0"/>
  </sheetViews>
  <sheetFormatPr defaultColWidth="0" defaultRowHeight="15" zeroHeight="1"/>
  <cols>
    <col min="1" max="1" width="24.7109375" style="33" customWidth="1"/>
    <col min="2" max="2" width="9.140625" style="33" customWidth="1"/>
    <col min="3" max="3" width="25.7109375" style="33" customWidth="1"/>
    <col min="4" max="4" width="26.85546875" style="33" customWidth="1"/>
    <col min="5" max="5" width="40.42578125" style="33" customWidth="1"/>
    <col min="6" max="6" width="7.28515625" style="33" customWidth="1"/>
    <col min="7" max="9" width="9.140625" style="33" customWidth="1"/>
    <col min="10" max="10" width="14.28515625" style="33" hidden="1" customWidth="1"/>
    <col min="11" max="11" width="13.7109375" style="33" hidden="1" customWidth="1"/>
    <col min="12" max="12" width="11.7109375" style="33" hidden="1" customWidth="1"/>
    <col min="13" max="13" width="9.140625" style="33" hidden="1" customWidth="1"/>
    <col min="14" max="14" width="13.140625" style="33" hidden="1" customWidth="1"/>
    <col min="15" max="15" width="11.85546875" style="33" hidden="1" customWidth="1"/>
    <col min="16" max="16" width="13.140625" style="33" hidden="1" customWidth="1"/>
    <col min="17" max="16384" width="9.140625" style="33" hidden="1"/>
  </cols>
  <sheetData>
    <row r="1" spans="1:9">
      <c r="A1" s="32"/>
    </row>
    <row r="2" spans="1:9" ht="31.5" customHeight="1">
      <c r="A2" s="32"/>
      <c r="D2" s="87" t="s">
        <v>23</v>
      </c>
      <c r="E2" s="87"/>
      <c r="H2" s="58"/>
      <c r="I2" s="58"/>
    </row>
    <row r="3" spans="1:9">
      <c r="A3" s="32"/>
      <c r="H3" s="58"/>
      <c r="I3" s="58"/>
    </row>
    <row r="4" spans="1:9" ht="24.95" customHeight="1">
      <c r="A4" s="32"/>
      <c r="C4" s="52"/>
      <c r="D4" s="51" t="s">
        <v>12</v>
      </c>
      <c r="E4" s="30">
        <v>18</v>
      </c>
      <c r="H4" s="58"/>
      <c r="I4" s="58"/>
    </row>
    <row r="5" spans="1:9" ht="24.95" customHeight="1">
      <c r="A5" s="32"/>
      <c r="C5" s="52"/>
      <c r="D5" s="51" t="s">
        <v>19</v>
      </c>
      <c r="E5" s="26"/>
      <c r="H5" s="58"/>
      <c r="I5" s="58"/>
    </row>
    <row r="6" spans="1:9" ht="24.95" customHeight="1">
      <c r="A6" s="32"/>
      <c r="D6" s="51" t="s">
        <v>21</v>
      </c>
      <c r="E6" s="27"/>
    </row>
    <row r="7" spans="1:9" ht="24.95" customHeight="1">
      <c r="A7" s="32"/>
      <c r="C7" s="53"/>
      <c r="D7" s="51" t="s">
        <v>13</v>
      </c>
      <c r="E7" s="25"/>
    </row>
    <row r="8" spans="1:9" ht="24.95" customHeight="1">
      <c r="A8" s="32"/>
      <c r="D8" s="51" t="s">
        <v>14</v>
      </c>
      <c r="E8" s="30" t="str">
        <f>IFERROR(INDEX(Inventory[Product Name],MATCH(ProductID,Inventory[Product ID],0),0),"")</f>
        <v/>
      </c>
    </row>
    <row r="9" spans="1:9" ht="24.95" customHeight="1">
      <c r="A9" s="32"/>
      <c r="D9" s="51" t="s">
        <v>15</v>
      </c>
      <c r="E9" s="30" t="str">
        <f>IFERROR(INDEX(Inventory[Description],MATCH(SalesEntry!E7,Inventory[Product ID],0),0),"")</f>
        <v/>
      </c>
    </row>
    <row r="10" spans="1:9" ht="24.95" customHeight="1">
      <c r="A10" s="32"/>
      <c r="D10" s="51" t="s">
        <v>16</v>
      </c>
      <c r="E10" s="30" t="str">
        <f>IFERROR(INDEX(Inventory[Category],MATCH(SalesEntry!E7,Inventory[Product ID],0),0),"")</f>
        <v/>
      </c>
    </row>
    <row r="11" spans="1:9" ht="24.95" customHeight="1">
      <c r="A11" s="32"/>
      <c r="D11" s="51" t="s">
        <v>33</v>
      </c>
      <c r="E11" s="28"/>
    </row>
    <row r="12" spans="1:9" ht="24.95" customHeight="1">
      <c r="A12" s="32"/>
      <c r="D12" s="51" t="s">
        <v>34</v>
      </c>
      <c r="E12" s="29"/>
    </row>
    <row r="13" spans="1:9" ht="24.95" customHeight="1">
      <c r="A13" s="32"/>
      <c r="D13" s="51" t="s">
        <v>37</v>
      </c>
      <c r="E13" s="31">
        <f>QuantitySold*SellingPrice</f>
        <v>0</v>
      </c>
    </row>
    <row r="14" spans="1:9">
      <c r="A14" s="32"/>
    </row>
    <row r="15" spans="1:9">
      <c r="A15" s="32"/>
    </row>
    <row r="16" spans="1:9">
      <c r="A16" s="32"/>
    </row>
    <row r="17" spans="1:1" hidden="1">
      <c r="A17" s="32"/>
    </row>
    <row r="18" spans="1:1" hidden="1">
      <c r="A18" s="32"/>
    </row>
    <row r="19" spans="1:1" hidden="1">
      <c r="A19" s="32"/>
    </row>
  </sheetData>
  <sheetProtection password="8410" sheet="1" objects="1" scenarios="1"/>
  <mergeCells count="1">
    <mergeCell ref="D2:E2"/>
  </mergeCells>
  <dataValidations count="1">
    <dataValidation type="list" allowBlank="1" showInputMessage="1" showErrorMessage="1" sqref="E7">
      <formula1>INDIRECT("Inventory[Product ID]")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L28"/>
  <sheetViews>
    <sheetView zoomScaleNormal="100" workbookViewId="0">
      <selection activeCell="A17" sqref="A17"/>
    </sheetView>
  </sheetViews>
  <sheetFormatPr defaultRowHeight="15"/>
  <cols>
    <col min="1" max="1" width="23.42578125" style="33" customWidth="1"/>
    <col min="2" max="2" width="2.140625" style="6" customWidth="1"/>
    <col min="3" max="3" width="6.85546875" style="13" customWidth="1"/>
    <col min="4" max="4" width="12.42578125" style="13" customWidth="1"/>
    <col min="5" max="5" width="17.85546875" style="13" bestFit="1" customWidth="1"/>
    <col min="6" max="6" width="27.42578125" style="13" bestFit="1" customWidth="1"/>
    <col min="7" max="7" width="16.7109375" style="13" customWidth="1"/>
    <col min="8" max="8" width="12.42578125" style="13" bestFit="1" customWidth="1"/>
    <col min="9" max="9" width="17.7109375" style="13" customWidth="1"/>
    <col min="10" max="10" width="16.7109375" style="13" customWidth="1"/>
    <col min="11" max="11" width="17.28515625" style="13" customWidth="1"/>
    <col min="12" max="12" width="15.42578125" style="13" bestFit="1" customWidth="1"/>
    <col min="13" max="14" width="9.140625" style="6"/>
    <col min="15" max="15" width="16.28515625" style="6" customWidth="1"/>
    <col min="16" max="16" width="3.85546875" style="6" customWidth="1"/>
    <col min="17" max="17" width="9.140625" style="6"/>
    <col min="18" max="18" width="12.7109375" style="6" customWidth="1"/>
    <col min="19" max="19" width="4.5703125" style="6" customWidth="1"/>
    <col min="20" max="16384" width="9.140625" style="6"/>
  </cols>
  <sheetData>
    <row r="1" spans="1:12" ht="17.25">
      <c r="A1" s="32"/>
      <c r="C1" s="54" t="s">
        <v>4</v>
      </c>
      <c r="D1" s="54" t="s">
        <v>0</v>
      </c>
      <c r="E1" s="54" t="s">
        <v>1</v>
      </c>
      <c r="F1" s="54" t="s">
        <v>5</v>
      </c>
      <c r="G1" s="54" t="s">
        <v>6</v>
      </c>
      <c r="H1" s="54" t="s">
        <v>2</v>
      </c>
      <c r="I1" s="54" t="s">
        <v>3</v>
      </c>
      <c r="J1" s="54" t="s">
        <v>9</v>
      </c>
      <c r="K1" s="54" t="s">
        <v>10</v>
      </c>
      <c r="L1" s="54" t="s">
        <v>11</v>
      </c>
    </row>
    <row r="2" spans="1:12">
      <c r="A2" s="32"/>
      <c r="C2" s="37">
        <v>1</v>
      </c>
      <c r="D2" s="37" t="s">
        <v>47</v>
      </c>
      <c r="E2" s="37" t="s">
        <v>49</v>
      </c>
      <c r="F2" s="37" t="s">
        <v>50</v>
      </c>
      <c r="G2" s="37" t="s">
        <v>48</v>
      </c>
      <c r="H2" s="38">
        <v>1200</v>
      </c>
      <c r="I2" s="39">
        <v>10</v>
      </c>
      <c r="J2" s="40">
        <f>SUMIFS(Purchase[Quantity],Purchase[Product ID],[Product ID])-SUMIFS(Sales[Quantity Sold],Sales[Product ID],[Product ID])</f>
        <v>245</v>
      </c>
      <c r="K2" s="41">
        <f>Inventory[[#This Row],[Unit Price]]*Inventory[[#This Row],[Current Stock]]</f>
        <v>294000</v>
      </c>
      <c r="L2" s="42" t="str">
        <f>IF([Current Stock]=0,"Out of Stock",IF([Current Stock]&lt;=[Reorder Level],"Low Stock","In Stock"))</f>
        <v>In Stock</v>
      </c>
    </row>
    <row r="3" spans="1:12">
      <c r="A3" s="32"/>
      <c r="C3" s="64">
        <v>2</v>
      </c>
      <c r="D3" s="64" t="s">
        <v>51</v>
      </c>
      <c r="E3" s="64" t="s">
        <v>52</v>
      </c>
      <c r="F3" s="64" t="s">
        <v>53</v>
      </c>
      <c r="G3" s="64" t="s">
        <v>54</v>
      </c>
      <c r="H3" s="60">
        <v>150</v>
      </c>
      <c r="I3" s="65">
        <v>10</v>
      </c>
      <c r="J3" s="61">
        <f>SUMIFS(Purchase[Quantity],Purchase[Product ID],[Product ID])-SUMIFS(Sales[Quantity Sold],Sales[Product ID],[Product ID])</f>
        <v>4</v>
      </c>
      <c r="K3" s="62">
        <f>Inventory[[#This Row],[Unit Price]]*Inventory[[#This Row],[Current Stock]]</f>
        <v>600</v>
      </c>
      <c r="L3" s="63" t="str">
        <f>IF([Current Stock]=0,"Out of Stock",IF([Current Stock]&lt;=[Reorder Level],"Low Stock","In Stock"))</f>
        <v>Low Stock</v>
      </c>
    </row>
    <row r="4" spans="1:12">
      <c r="A4" s="32"/>
      <c r="C4" s="64">
        <v>3</v>
      </c>
      <c r="D4" s="64" t="s">
        <v>56</v>
      </c>
      <c r="E4" s="64" t="s">
        <v>55</v>
      </c>
      <c r="F4" s="64" t="s">
        <v>57</v>
      </c>
      <c r="G4" s="64" t="s">
        <v>54</v>
      </c>
      <c r="H4" s="60">
        <v>120</v>
      </c>
      <c r="I4" s="65">
        <v>10</v>
      </c>
      <c r="J4" s="61">
        <f>SUMIFS(Purchase[Quantity],Purchase[Product ID],[Product ID])-SUMIFS(Sales[Quantity Sold],Sales[Product ID],[Product ID])</f>
        <v>0</v>
      </c>
      <c r="K4" s="62">
        <f>Inventory[[#This Row],[Unit Price]]*Inventory[[#This Row],[Current Stock]]</f>
        <v>0</v>
      </c>
      <c r="L4" s="63" t="str">
        <f>IF([Current Stock]=0,"Out of Stock",IF([Current Stock]&lt;=[Reorder Level],"Low Stock","In Stock"))</f>
        <v>Out of Stock</v>
      </c>
    </row>
    <row r="5" spans="1:12">
      <c r="A5" s="32"/>
      <c r="C5" s="64">
        <v>4</v>
      </c>
      <c r="D5" s="64" t="s">
        <v>67</v>
      </c>
      <c r="E5" s="64" t="s">
        <v>64</v>
      </c>
      <c r="F5" s="64" t="s">
        <v>65</v>
      </c>
      <c r="G5" s="64" t="s">
        <v>66</v>
      </c>
      <c r="H5" s="60">
        <v>700</v>
      </c>
      <c r="I5" s="65">
        <v>15</v>
      </c>
      <c r="J5" s="61">
        <f>SUMIFS(Purchase[Quantity],Purchase[Product ID],[Product ID])-SUMIFS(Sales[Quantity Sold],Sales[Product ID],[Product ID])</f>
        <v>160</v>
      </c>
      <c r="K5" s="62">
        <f>Inventory[[#This Row],[Unit Price]]*Inventory[[#This Row],[Current Stock]]</f>
        <v>112000</v>
      </c>
      <c r="L5" s="63" t="str">
        <f>IF([Current Stock]=0,"Out of Stock",IF([Current Stock]&lt;=[Reorder Level],"Low Stock","In Stock"))</f>
        <v>In Stock</v>
      </c>
    </row>
    <row r="6" spans="1:12">
      <c r="A6" s="32"/>
      <c r="C6" s="64">
        <v>5</v>
      </c>
      <c r="D6" s="64" t="s">
        <v>70</v>
      </c>
      <c r="E6" s="64" t="s">
        <v>68</v>
      </c>
      <c r="F6" s="64" t="s">
        <v>69</v>
      </c>
      <c r="G6" s="64" t="s">
        <v>66</v>
      </c>
      <c r="H6" s="60">
        <v>300</v>
      </c>
      <c r="I6" s="65">
        <v>20</v>
      </c>
      <c r="J6" s="61">
        <f>SUMIFS(Purchase[Quantity],Purchase[Product ID],[Product ID])-SUMIFS(Sales[Quantity Sold],Sales[Product ID],[Product ID])</f>
        <v>7</v>
      </c>
      <c r="K6" s="62">
        <f>Inventory[[#This Row],[Unit Price]]*Inventory[[#This Row],[Current Stock]]</f>
        <v>2100</v>
      </c>
      <c r="L6" s="63" t="str">
        <f>IF([Current Stock]=0,"Out of Stock",IF([Current Stock]&lt;=[Reorder Level],"Low Stock","In Stock"))</f>
        <v>Low Stock</v>
      </c>
    </row>
    <row r="7" spans="1:12">
      <c r="A7" s="32"/>
      <c r="C7" s="64">
        <v>6</v>
      </c>
      <c r="D7" s="64" t="s">
        <v>71</v>
      </c>
      <c r="E7" s="64" t="s">
        <v>72</v>
      </c>
      <c r="F7" s="64" t="s">
        <v>73</v>
      </c>
      <c r="G7" s="64" t="s">
        <v>54</v>
      </c>
      <c r="H7" s="60">
        <v>450</v>
      </c>
      <c r="I7" s="65">
        <v>10</v>
      </c>
      <c r="J7" s="61">
        <f>SUMIFS(Purchase[Quantity],Purchase[Product ID],[Product ID])-SUMIFS(Sales[Quantity Sold],Sales[Product ID],[Product ID])</f>
        <v>38</v>
      </c>
      <c r="K7" s="62">
        <f>Inventory[[#This Row],[Unit Price]]*Inventory[[#This Row],[Current Stock]]</f>
        <v>17100</v>
      </c>
      <c r="L7" s="63" t="str">
        <f>IF([Current Stock]=0,"Out of Stock",IF([Current Stock]&lt;=[Reorder Level],"Low Stock","In Stock"))</f>
        <v>In Stock</v>
      </c>
    </row>
    <row r="8" spans="1:12">
      <c r="A8" s="32"/>
      <c r="C8" s="64">
        <v>7</v>
      </c>
      <c r="D8" s="64" t="s">
        <v>76</v>
      </c>
      <c r="E8" s="64" t="s">
        <v>74</v>
      </c>
      <c r="F8" s="64" t="s">
        <v>75</v>
      </c>
      <c r="G8" s="64" t="s">
        <v>48</v>
      </c>
      <c r="H8" s="60">
        <v>1800</v>
      </c>
      <c r="I8" s="65">
        <v>10</v>
      </c>
      <c r="J8" s="61">
        <f>SUMIFS(Purchase[Quantity],Purchase[Product ID],[Product ID])-SUMIFS(Sales[Quantity Sold],Sales[Product ID],[Product ID])</f>
        <v>360</v>
      </c>
      <c r="K8" s="62">
        <f>Inventory[[#This Row],[Unit Price]]*Inventory[[#This Row],[Current Stock]]</f>
        <v>648000</v>
      </c>
      <c r="L8" s="63" t="str">
        <f>IF([Current Stock]=0,"Out of Stock",IF([Current Stock]&lt;=[Reorder Level],"Low Stock","In Stock"))</f>
        <v>In Stock</v>
      </c>
    </row>
    <row r="9" spans="1:12">
      <c r="A9" s="32"/>
      <c r="C9" s="64">
        <v>8</v>
      </c>
      <c r="D9" s="64" t="s">
        <v>77</v>
      </c>
      <c r="E9" s="64" t="s">
        <v>78</v>
      </c>
      <c r="F9" s="64" t="s">
        <v>79</v>
      </c>
      <c r="G9" s="64" t="s">
        <v>66</v>
      </c>
      <c r="H9" s="60">
        <v>1100</v>
      </c>
      <c r="I9" s="65">
        <v>10</v>
      </c>
      <c r="J9" s="61">
        <f>SUMIFS(Purchase[Quantity],Purchase[Product ID],[Product ID])-SUMIFS(Sales[Quantity Sold],Sales[Product ID],[Product ID])</f>
        <v>5</v>
      </c>
      <c r="K9" s="62">
        <f>Inventory[[#This Row],[Unit Price]]*Inventory[[#This Row],[Current Stock]]</f>
        <v>5500</v>
      </c>
      <c r="L9" s="63" t="str">
        <f>IF([Current Stock]=0,"Out of Stock",IF([Current Stock]&lt;=[Reorder Level],"Low Stock","In Stock"))</f>
        <v>Low Stock</v>
      </c>
    </row>
    <row r="10" spans="1:12">
      <c r="A10" s="32"/>
      <c r="C10" s="64">
        <v>9</v>
      </c>
      <c r="D10" s="64" t="s">
        <v>80</v>
      </c>
      <c r="E10" s="64" t="s">
        <v>81</v>
      </c>
      <c r="F10" s="64" t="s">
        <v>82</v>
      </c>
      <c r="G10" s="64" t="s">
        <v>48</v>
      </c>
      <c r="H10" s="60">
        <v>850</v>
      </c>
      <c r="I10" s="65">
        <v>10</v>
      </c>
      <c r="J10" s="61">
        <f>SUMIFS(Purchase[Quantity],Purchase[Product ID],[Product ID])-SUMIFS(Sales[Quantity Sold],Sales[Product ID],[Product ID])</f>
        <v>0</v>
      </c>
      <c r="K10" s="62">
        <f>Inventory[[#This Row],[Unit Price]]*Inventory[[#This Row],[Current Stock]]</f>
        <v>0</v>
      </c>
      <c r="L10" s="63" t="str">
        <f>IF([Current Stock]=0,"Out of Stock",IF([Current Stock]&lt;=[Reorder Level],"Low Stock","In Stock"))</f>
        <v>Out of Stock</v>
      </c>
    </row>
    <row r="11" spans="1:12">
      <c r="A11" s="32"/>
      <c r="C11" s="64">
        <v>10</v>
      </c>
      <c r="D11" s="64" t="s">
        <v>83</v>
      </c>
      <c r="E11" s="64" t="s">
        <v>84</v>
      </c>
      <c r="F11" s="64" t="s">
        <v>85</v>
      </c>
      <c r="G11" s="64" t="s">
        <v>66</v>
      </c>
      <c r="H11" s="60">
        <v>900</v>
      </c>
      <c r="I11" s="65">
        <v>10</v>
      </c>
      <c r="J11" s="61">
        <f>SUMIFS(Purchase[Quantity],Purchase[Product ID],[Product ID])-SUMIFS(Sales[Quantity Sold],Sales[Product ID],[Product ID])</f>
        <v>5</v>
      </c>
      <c r="K11" s="62">
        <f>Inventory[[#This Row],[Unit Price]]*Inventory[[#This Row],[Current Stock]]</f>
        <v>4500</v>
      </c>
      <c r="L11" s="63" t="str">
        <f>IF([Current Stock]=0,"Out of Stock",IF([Current Stock]&lt;=[Reorder Level],"Low Stock","In Stock"))</f>
        <v>Low Stock</v>
      </c>
    </row>
    <row r="12" spans="1:12">
      <c r="A12" s="32"/>
      <c r="F12" s="6"/>
    </row>
    <row r="13" spans="1:12">
      <c r="A13" s="32"/>
      <c r="F13" s="6"/>
    </row>
    <row r="14" spans="1:12">
      <c r="A14" s="32"/>
      <c r="F14" s="6"/>
    </row>
    <row r="15" spans="1:12">
      <c r="A15" s="32"/>
      <c r="F15" s="6"/>
    </row>
    <row r="16" spans="1:12">
      <c r="A16" s="32"/>
      <c r="F16" s="6"/>
    </row>
    <row r="17" spans="1:6">
      <c r="A17" s="32"/>
      <c r="F17" s="6"/>
    </row>
    <row r="18" spans="1:6">
      <c r="A18" s="32"/>
      <c r="F18" s="6"/>
    </row>
    <row r="19" spans="1:6">
      <c r="A19" s="32"/>
    </row>
    <row r="20" spans="1:6">
      <c r="A20" s="32"/>
    </row>
    <row r="21" spans="1:6">
      <c r="A21" s="32"/>
    </row>
    <row r="22" spans="1:6">
      <c r="A22" s="32"/>
    </row>
    <row r="23" spans="1:6">
      <c r="A23" s="32"/>
    </row>
    <row r="24" spans="1:6">
      <c r="A24" s="32"/>
    </row>
    <row r="25" spans="1:6">
      <c r="A25" s="32"/>
    </row>
    <row r="26" spans="1:6">
      <c r="A26" s="32"/>
    </row>
    <row r="27" spans="1:6">
      <c r="A27" s="32"/>
    </row>
    <row r="28" spans="1:6">
      <c r="A28" s="32"/>
    </row>
  </sheetData>
  <sheetProtection password="8410" sheet="1" objects="1" scenarios="1"/>
  <conditionalFormatting sqref="L2:L11">
    <cfRule type="expression" dxfId="45" priority="1">
      <formula>L2="Out of Stock"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L27"/>
  <sheetViews>
    <sheetView workbookViewId="0">
      <selection activeCell="A22" sqref="A22"/>
    </sheetView>
  </sheetViews>
  <sheetFormatPr defaultRowHeight="15"/>
  <cols>
    <col min="1" max="1" width="24.7109375" style="6" customWidth="1"/>
    <col min="2" max="2" width="3.85546875" style="6" customWidth="1"/>
    <col min="3" max="3" width="7.85546875" style="6" customWidth="1"/>
    <col min="4" max="4" width="12.140625" style="6" customWidth="1"/>
    <col min="5" max="5" width="18.42578125" style="6" bestFit="1" customWidth="1"/>
    <col min="6" max="6" width="14.140625" style="6" customWidth="1"/>
    <col min="7" max="7" width="19.7109375" style="6" customWidth="1"/>
    <col min="8" max="8" width="27.42578125" style="6" bestFit="1" customWidth="1"/>
    <col min="9" max="9" width="17.28515625" style="6" customWidth="1"/>
    <col min="10" max="10" width="11.85546875" style="6" customWidth="1"/>
    <col min="11" max="11" width="12.28515625" style="6" customWidth="1"/>
    <col min="12" max="12" width="15.85546875" style="6" customWidth="1"/>
    <col min="13" max="16384" width="9.140625" style="6"/>
  </cols>
  <sheetData>
    <row r="1" spans="1:12" ht="17.25">
      <c r="A1" s="5"/>
      <c r="C1" s="43" t="s">
        <v>4</v>
      </c>
      <c r="D1" s="36" t="s">
        <v>7</v>
      </c>
      <c r="E1" s="36" t="s">
        <v>25</v>
      </c>
      <c r="F1" s="36" t="s">
        <v>0</v>
      </c>
      <c r="G1" s="36" t="s">
        <v>1</v>
      </c>
      <c r="H1" s="36" t="s">
        <v>5</v>
      </c>
      <c r="I1" s="36" t="s">
        <v>6</v>
      </c>
      <c r="J1" s="36" t="s">
        <v>8</v>
      </c>
      <c r="K1" s="36" t="s">
        <v>26</v>
      </c>
      <c r="L1" s="44" t="s">
        <v>27</v>
      </c>
    </row>
    <row r="2" spans="1:12">
      <c r="A2" s="5"/>
      <c r="C2" s="37">
        <v>1</v>
      </c>
      <c r="D2" s="45">
        <v>45253</v>
      </c>
      <c r="E2" s="37" t="s">
        <v>58</v>
      </c>
      <c r="F2" s="37" t="s">
        <v>47</v>
      </c>
      <c r="G2" s="37" t="s">
        <v>49</v>
      </c>
      <c r="H2" s="37" t="s">
        <v>50</v>
      </c>
      <c r="I2" s="37" t="s">
        <v>48</v>
      </c>
      <c r="J2" s="37">
        <v>500</v>
      </c>
      <c r="K2" s="38">
        <v>1200</v>
      </c>
      <c r="L2" s="38">
        <v>600000</v>
      </c>
    </row>
    <row r="3" spans="1:12">
      <c r="A3" s="5"/>
      <c r="C3" s="64">
        <v>2</v>
      </c>
      <c r="D3" s="66">
        <v>45280</v>
      </c>
      <c r="E3" s="64" t="s">
        <v>59</v>
      </c>
      <c r="F3" s="64" t="s">
        <v>51</v>
      </c>
      <c r="G3" s="64" t="s">
        <v>52</v>
      </c>
      <c r="H3" s="64" t="s">
        <v>53</v>
      </c>
      <c r="I3" s="64" t="s">
        <v>54</v>
      </c>
      <c r="J3" s="64">
        <v>120</v>
      </c>
      <c r="K3" s="60">
        <v>10</v>
      </c>
      <c r="L3" s="60">
        <v>1200</v>
      </c>
    </row>
    <row r="4" spans="1:12">
      <c r="A4" s="5"/>
      <c r="C4" s="64">
        <v>3</v>
      </c>
      <c r="D4" s="66">
        <v>45272</v>
      </c>
      <c r="E4" s="64" t="s">
        <v>59</v>
      </c>
      <c r="F4" s="64" t="s">
        <v>56</v>
      </c>
      <c r="G4" s="64" t="s">
        <v>55</v>
      </c>
      <c r="H4" s="64" t="s">
        <v>57</v>
      </c>
      <c r="I4" s="64" t="s">
        <v>54</v>
      </c>
      <c r="J4" s="64">
        <v>250</v>
      </c>
      <c r="K4" s="60">
        <v>120</v>
      </c>
      <c r="L4" s="60">
        <v>30000</v>
      </c>
    </row>
    <row r="5" spans="1:12">
      <c r="A5" s="5"/>
      <c r="C5" s="64">
        <v>4</v>
      </c>
      <c r="D5" s="66">
        <v>45252</v>
      </c>
      <c r="E5" s="64" t="s">
        <v>86</v>
      </c>
      <c r="F5" s="64" t="s">
        <v>51</v>
      </c>
      <c r="G5" s="64" t="s">
        <v>52</v>
      </c>
      <c r="H5" s="64" t="s">
        <v>53</v>
      </c>
      <c r="I5" s="64" t="s">
        <v>54</v>
      </c>
      <c r="J5" s="64">
        <v>200</v>
      </c>
      <c r="K5" s="60">
        <v>150</v>
      </c>
      <c r="L5" s="60">
        <v>30000</v>
      </c>
    </row>
    <row r="6" spans="1:12">
      <c r="A6" s="5"/>
      <c r="C6" s="64">
        <v>5</v>
      </c>
      <c r="D6" s="66">
        <v>45649</v>
      </c>
      <c r="E6" s="64" t="s">
        <v>86</v>
      </c>
      <c r="F6" s="64" t="s">
        <v>67</v>
      </c>
      <c r="G6" s="64" t="s">
        <v>64</v>
      </c>
      <c r="H6" s="64" t="s">
        <v>65</v>
      </c>
      <c r="I6" s="64" t="s">
        <v>66</v>
      </c>
      <c r="J6" s="64">
        <v>350</v>
      </c>
      <c r="K6" s="60">
        <v>700</v>
      </c>
      <c r="L6" s="60">
        <v>245000</v>
      </c>
    </row>
    <row r="7" spans="1:12">
      <c r="A7" s="5"/>
      <c r="C7" s="64">
        <v>6</v>
      </c>
      <c r="D7" s="66">
        <v>45272</v>
      </c>
      <c r="E7" s="64" t="s">
        <v>86</v>
      </c>
      <c r="F7" s="64" t="s">
        <v>70</v>
      </c>
      <c r="G7" s="64" t="s">
        <v>68</v>
      </c>
      <c r="H7" s="64" t="s">
        <v>69</v>
      </c>
      <c r="I7" s="64" t="s">
        <v>66</v>
      </c>
      <c r="J7" s="64">
        <v>200</v>
      </c>
      <c r="K7" s="60">
        <v>300</v>
      </c>
      <c r="L7" s="60">
        <v>60000</v>
      </c>
    </row>
    <row r="8" spans="1:12">
      <c r="A8" s="5"/>
      <c r="C8" s="64">
        <v>7</v>
      </c>
      <c r="D8" s="66">
        <v>45324</v>
      </c>
      <c r="E8" s="64" t="s">
        <v>59</v>
      </c>
      <c r="F8" s="64" t="s">
        <v>71</v>
      </c>
      <c r="G8" s="64" t="s">
        <v>72</v>
      </c>
      <c r="H8" s="64" t="s">
        <v>73</v>
      </c>
      <c r="I8" s="64" t="s">
        <v>54</v>
      </c>
      <c r="J8" s="64">
        <v>250</v>
      </c>
      <c r="K8" s="60">
        <v>450</v>
      </c>
      <c r="L8" s="60">
        <v>112500</v>
      </c>
    </row>
    <row r="9" spans="1:12">
      <c r="A9" s="5"/>
      <c r="C9" s="64">
        <v>8</v>
      </c>
      <c r="D9" s="66">
        <v>45354</v>
      </c>
      <c r="E9" s="64" t="s">
        <v>58</v>
      </c>
      <c r="F9" s="64" t="s">
        <v>76</v>
      </c>
      <c r="G9" s="64" t="s">
        <v>74</v>
      </c>
      <c r="H9" s="64" t="s">
        <v>75</v>
      </c>
      <c r="I9" s="64" t="s">
        <v>48</v>
      </c>
      <c r="J9" s="64">
        <v>400</v>
      </c>
      <c r="K9" s="60">
        <v>1800</v>
      </c>
      <c r="L9" s="60">
        <v>720000</v>
      </c>
    </row>
    <row r="10" spans="1:12">
      <c r="A10" s="5"/>
      <c r="C10" s="64">
        <v>9</v>
      </c>
      <c r="D10" s="66">
        <v>45363</v>
      </c>
      <c r="E10" s="64" t="s">
        <v>87</v>
      </c>
      <c r="F10" s="64" t="s">
        <v>77</v>
      </c>
      <c r="G10" s="64" t="s">
        <v>78</v>
      </c>
      <c r="H10" s="64" t="s">
        <v>79</v>
      </c>
      <c r="I10" s="64" t="s">
        <v>66</v>
      </c>
      <c r="J10" s="64">
        <v>100</v>
      </c>
      <c r="K10" s="60">
        <v>1100</v>
      </c>
      <c r="L10" s="60">
        <v>110000</v>
      </c>
    </row>
    <row r="11" spans="1:12">
      <c r="A11" s="5"/>
      <c r="C11" s="64">
        <v>10</v>
      </c>
      <c r="D11" s="66">
        <v>45366</v>
      </c>
      <c r="E11" s="64" t="s">
        <v>88</v>
      </c>
      <c r="F11" s="64" t="s">
        <v>80</v>
      </c>
      <c r="G11" s="64" t="s">
        <v>81</v>
      </c>
      <c r="H11" s="64" t="s">
        <v>82</v>
      </c>
      <c r="I11" s="64" t="s">
        <v>48</v>
      </c>
      <c r="J11" s="64">
        <v>250</v>
      </c>
      <c r="K11" s="60">
        <v>850</v>
      </c>
      <c r="L11" s="60">
        <v>212500</v>
      </c>
    </row>
    <row r="12" spans="1:12">
      <c r="A12" s="5"/>
      <c r="C12" s="64">
        <v>11</v>
      </c>
      <c r="D12" s="66">
        <v>45312</v>
      </c>
      <c r="E12" s="64" t="s">
        <v>86</v>
      </c>
      <c r="F12" s="64" t="s">
        <v>83</v>
      </c>
      <c r="G12" s="64" t="s">
        <v>84</v>
      </c>
      <c r="H12" s="64" t="s">
        <v>85</v>
      </c>
      <c r="I12" s="64" t="s">
        <v>66</v>
      </c>
      <c r="J12" s="64">
        <v>50</v>
      </c>
      <c r="K12" s="60">
        <v>900</v>
      </c>
      <c r="L12" s="60">
        <v>45000</v>
      </c>
    </row>
    <row r="13" spans="1:12">
      <c r="A13" s="5"/>
    </row>
    <row r="14" spans="1:12">
      <c r="A14" s="5"/>
    </row>
    <row r="15" spans="1:12">
      <c r="A15" s="5"/>
    </row>
    <row r="16" spans="1:12">
      <c r="A16" s="5"/>
    </row>
    <row r="17" spans="1:1">
      <c r="A17" s="5"/>
    </row>
    <row r="18" spans="1:1">
      <c r="A18" s="5"/>
    </row>
    <row r="19" spans="1:1">
      <c r="A19" s="5"/>
    </row>
    <row r="20" spans="1:1">
      <c r="A20" s="5"/>
    </row>
    <row r="21" spans="1:1">
      <c r="A21" s="5"/>
    </row>
    <row r="22" spans="1:1">
      <c r="A22" s="5"/>
    </row>
    <row r="23" spans="1:1">
      <c r="A23" s="5"/>
    </row>
    <row r="24" spans="1:1">
      <c r="A24" s="5"/>
    </row>
    <row r="25" spans="1:1">
      <c r="A25" s="5"/>
    </row>
    <row r="26" spans="1:1">
      <c r="A26" s="5"/>
    </row>
    <row r="27" spans="1:1">
      <c r="A27" s="5"/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L28"/>
  <sheetViews>
    <sheetView workbookViewId="0"/>
  </sheetViews>
  <sheetFormatPr defaultRowHeight="15"/>
  <cols>
    <col min="1" max="1" width="24.7109375" customWidth="1"/>
    <col min="2" max="2" width="3.85546875" customWidth="1"/>
    <col min="3" max="3" width="7.7109375" bestFit="1" customWidth="1"/>
    <col min="4" max="4" width="13.42578125" customWidth="1"/>
    <col min="5" max="5" width="15" bestFit="1" customWidth="1"/>
    <col min="6" max="6" width="14.5703125" customWidth="1"/>
    <col min="7" max="7" width="17" bestFit="1" customWidth="1"/>
    <col min="8" max="8" width="24.85546875" bestFit="1" customWidth="1"/>
    <col min="9" max="9" width="13.42578125" customWidth="1"/>
    <col min="10" max="10" width="16.140625" bestFit="1" customWidth="1"/>
    <col min="11" max="11" width="15" bestFit="1" customWidth="1"/>
    <col min="12" max="12" width="21.42578125" bestFit="1" customWidth="1"/>
  </cols>
  <sheetData>
    <row r="1" spans="1:12" ht="17.25">
      <c r="A1" s="1"/>
      <c r="C1" s="2" t="s">
        <v>4</v>
      </c>
      <c r="D1" s="3" t="s">
        <v>7</v>
      </c>
      <c r="E1" s="3" t="s">
        <v>29</v>
      </c>
      <c r="F1" s="3" t="s">
        <v>0</v>
      </c>
      <c r="G1" s="3" t="s">
        <v>1</v>
      </c>
      <c r="H1" s="3" t="s">
        <v>5</v>
      </c>
      <c r="I1" s="3" t="s">
        <v>6</v>
      </c>
      <c r="J1" s="3" t="s">
        <v>30</v>
      </c>
      <c r="K1" s="3" t="s">
        <v>31</v>
      </c>
      <c r="L1" s="4" t="s">
        <v>32</v>
      </c>
    </row>
    <row r="2" spans="1:12">
      <c r="A2" s="1"/>
      <c r="C2" s="8">
        <v>1</v>
      </c>
      <c r="D2" s="70">
        <v>45324</v>
      </c>
      <c r="E2" s="8" t="s">
        <v>60</v>
      </c>
      <c r="F2" s="8" t="s">
        <v>47</v>
      </c>
      <c r="G2" s="8" t="s">
        <v>49</v>
      </c>
      <c r="H2" s="8" t="s">
        <v>50</v>
      </c>
      <c r="I2" s="8" t="s">
        <v>48</v>
      </c>
      <c r="J2" s="8">
        <v>100</v>
      </c>
      <c r="K2" s="9">
        <v>150</v>
      </c>
      <c r="L2" s="9">
        <v>15000</v>
      </c>
    </row>
    <row r="3" spans="1:12">
      <c r="A3" s="1"/>
      <c r="C3" s="72">
        <v>2</v>
      </c>
      <c r="D3" s="73">
        <v>45354</v>
      </c>
      <c r="E3" s="72" t="s">
        <v>61</v>
      </c>
      <c r="F3" s="72" t="s">
        <v>56</v>
      </c>
      <c r="G3" s="72" t="s">
        <v>55</v>
      </c>
      <c r="H3" s="72" t="s">
        <v>57</v>
      </c>
      <c r="I3" s="72" t="s">
        <v>54</v>
      </c>
      <c r="J3" s="72">
        <v>100</v>
      </c>
      <c r="K3" s="71">
        <v>160</v>
      </c>
      <c r="L3" s="71">
        <v>16000</v>
      </c>
    </row>
    <row r="4" spans="1:12">
      <c r="A4" s="1"/>
      <c r="C4" s="72">
        <v>3</v>
      </c>
      <c r="D4" s="73">
        <v>45363</v>
      </c>
      <c r="E4" s="72" t="s">
        <v>62</v>
      </c>
      <c r="F4" s="72" t="s">
        <v>51</v>
      </c>
      <c r="G4" s="72" t="s">
        <v>52</v>
      </c>
      <c r="H4" s="72" t="s">
        <v>53</v>
      </c>
      <c r="I4" s="72" t="s">
        <v>54</v>
      </c>
      <c r="J4" s="72">
        <v>70</v>
      </c>
      <c r="K4" s="71">
        <v>180</v>
      </c>
      <c r="L4" s="71">
        <v>12600</v>
      </c>
    </row>
    <row r="5" spans="1:12">
      <c r="A5" s="1"/>
      <c r="C5" s="68">
        <v>4</v>
      </c>
      <c r="D5" s="69">
        <v>45386</v>
      </c>
      <c r="E5" s="68" t="s">
        <v>63</v>
      </c>
      <c r="F5" s="68" t="s">
        <v>51</v>
      </c>
      <c r="G5" s="68" t="s">
        <v>52</v>
      </c>
      <c r="H5" s="68" t="s">
        <v>53</v>
      </c>
      <c r="I5" s="68" t="s">
        <v>54</v>
      </c>
      <c r="J5" s="68">
        <v>50</v>
      </c>
      <c r="K5" s="67">
        <v>200</v>
      </c>
      <c r="L5" s="67">
        <v>10000</v>
      </c>
    </row>
    <row r="6" spans="1:12">
      <c r="A6" s="1"/>
      <c r="C6" s="72">
        <v>5</v>
      </c>
      <c r="D6" s="73">
        <v>45437</v>
      </c>
      <c r="E6" s="72" t="s">
        <v>89</v>
      </c>
      <c r="F6" s="72" t="s">
        <v>47</v>
      </c>
      <c r="G6" s="72" t="s">
        <v>49</v>
      </c>
      <c r="H6" s="72" t="s">
        <v>50</v>
      </c>
      <c r="I6" s="72" t="s">
        <v>48</v>
      </c>
      <c r="J6" s="72">
        <v>155</v>
      </c>
      <c r="K6" s="71">
        <v>1300</v>
      </c>
      <c r="L6" s="71">
        <v>201500</v>
      </c>
    </row>
    <row r="7" spans="1:12">
      <c r="A7" s="1"/>
      <c r="C7" s="72">
        <v>6</v>
      </c>
      <c r="D7" s="73">
        <v>45470</v>
      </c>
      <c r="E7" s="72" t="s">
        <v>90</v>
      </c>
      <c r="F7" s="72" t="s">
        <v>51</v>
      </c>
      <c r="G7" s="72" t="s">
        <v>52</v>
      </c>
      <c r="H7" s="72" t="s">
        <v>53</v>
      </c>
      <c r="I7" s="72" t="s">
        <v>54</v>
      </c>
      <c r="J7" s="72">
        <v>196</v>
      </c>
      <c r="K7" s="71">
        <v>190</v>
      </c>
      <c r="L7" s="71">
        <v>37240</v>
      </c>
    </row>
    <row r="8" spans="1:12">
      <c r="A8" s="1"/>
      <c r="C8" s="72">
        <v>7</v>
      </c>
      <c r="D8" s="73">
        <v>45466</v>
      </c>
      <c r="E8" s="72" t="s">
        <v>91</v>
      </c>
      <c r="F8" s="72" t="s">
        <v>56</v>
      </c>
      <c r="G8" s="72" t="s">
        <v>55</v>
      </c>
      <c r="H8" s="72" t="s">
        <v>57</v>
      </c>
      <c r="I8" s="72" t="s">
        <v>54</v>
      </c>
      <c r="J8" s="72">
        <v>120</v>
      </c>
      <c r="K8" s="71">
        <v>150</v>
      </c>
      <c r="L8" s="71">
        <v>18000</v>
      </c>
    </row>
    <row r="9" spans="1:12">
      <c r="A9" s="1"/>
      <c r="C9" s="72">
        <v>8</v>
      </c>
      <c r="D9" s="73">
        <v>45502</v>
      </c>
      <c r="E9" s="72" t="s">
        <v>92</v>
      </c>
      <c r="F9" s="72" t="s">
        <v>67</v>
      </c>
      <c r="G9" s="72" t="s">
        <v>64</v>
      </c>
      <c r="H9" s="72" t="s">
        <v>65</v>
      </c>
      <c r="I9" s="72" t="s">
        <v>66</v>
      </c>
      <c r="J9" s="72">
        <v>190</v>
      </c>
      <c r="K9" s="71">
        <v>750</v>
      </c>
      <c r="L9" s="71">
        <v>142500</v>
      </c>
    </row>
    <row r="10" spans="1:12">
      <c r="A10" s="1"/>
      <c r="C10" s="72">
        <v>9</v>
      </c>
      <c r="D10" s="72" t="s">
        <v>93</v>
      </c>
      <c r="E10" s="72" t="s">
        <v>94</v>
      </c>
      <c r="F10" s="72" t="s">
        <v>70</v>
      </c>
      <c r="G10" s="72" t="s">
        <v>68</v>
      </c>
      <c r="H10" s="72" t="s">
        <v>69</v>
      </c>
      <c r="I10" s="72" t="s">
        <v>66</v>
      </c>
      <c r="J10" s="72">
        <v>193</v>
      </c>
      <c r="K10" s="71">
        <v>325</v>
      </c>
      <c r="L10" s="71">
        <v>62725</v>
      </c>
    </row>
    <row r="11" spans="1:12">
      <c r="A11" s="1"/>
      <c r="C11" s="72">
        <v>10</v>
      </c>
      <c r="D11" s="72" t="s">
        <v>95</v>
      </c>
      <c r="E11" s="72" t="s">
        <v>96</v>
      </c>
      <c r="F11" s="72" t="s">
        <v>71</v>
      </c>
      <c r="G11" s="72" t="s">
        <v>72</v>
      </c>
      <c r="H11" s="72" t="s">
        <v>73</v>
      </c>
      <c r="I11" s="72" t="s">
        <v>54</v>
      </c>
      <c r="J11" s="72">
        <v>212</v>
      </c>
      <c r="K11" s="71">
        <v>499</v>
      </c>
      <c r="L11" s="71">
        <v>105788</v>
      </c>
    </row>
    <row r="12" spans="1:12">
      <c r="A12" s="1"/>
      <c r="C12" s="72">
        <v>11</v>
      </c>
      <c r="D12" s="73">
        <v>45555</v>
      </c>
      <c r="E12" s="72" t="s">
        <v>97</v>
      </c>
      <c r="F12" s="72" t="s">
        <v>76</v>
      </c>
      <c r="G12" s="72" t="s">
        <v>74</v>
      </c>
      <c r="H12" s="72" t="s">
        <v>75</v>
      </c>
      <c r="I12" s="72" t="s">
        <v>48</v>
      </c>
      <c r="J12" s="72">
        <v>40</v>
      </c>
      <c r="K12" s="71">
        <v>1850</v>
      </c>
      <c r="L12" s="71">
        <v>74000</v>
      </c>
    </row>
    <row r="13" spans="1:12">
      <c r="A13" s="1"/>
      <c r="C13" s="72">
        <v>12</v>
      </c>
      <c r="D13" s="73">
        <v>45575</v>
      </c>
      <c r="E13" s="72" t="s">
        <v>98</v>
      </c>
      <c r="F13" s="72" t="s">
        <v>77</v>
      </c>
      <c r="G13" s="72" t="s">
        <v>78</v>
      </c>
      <c r="H13" s="72" t="s">
        <v>79</v>
      </c>
      <c r="I13" s="72" t="s">
        <v>66</v>
      </c>
      <c r="J13" s="72">
        <v>65</v>
      </c>
      <c r="K13" s="71">
        <v>1299</v>
      </c>
      <c r="L13" s="71">
        <v>84435</v>
      </c>
    </row>
    <row r="14" spans="1:12">
      <c r="A14" s="1"/>
      <c r="C14" s="72">
        <v>13</v>
      </c>
      <c r="D14" s="73">
        <v>45577</v>
      </c>
      <c r="E14" s="72" t="s">
        <v>99</v>
      </c>
      <c r="F14" s="72" t="s">
        <v>80</v>
      </c>
      <c r="G14" s="72" t="s">
        <v>81</v>
      </c>
      <c r="H14" s="72" t="s">
        <v>82</v>
      </c>
      <c r="I14" s="72" t="s">
        <v>48</v>
      </c>
      <c r="J14" s="72">
        <v>150</v>
      </c>
      <c r="K14" s="71">
        <v>899</v>
      </c>
      <c r="L14" s="71">
        <v>134850</v>
      </c>
    </row>
    <row r="15" spans="1:12">
      <c r="A15" s="1"/>
      <c r="C15" s="72">
        <v>14</v>
      </c>
      <c r="D15" s="73">
        <v>45608</v>
      </c>
      <c r="E15" s="72" t="s">
        <v>100</v>
      </c>
      <c r="F15" s="72" t="s">
        <v>83</v>
      </c>
      <c r="G15" s="72" t="s">
        <v>84</v>
      </c>
      <c r="H15" s="72" t="s">
        <v>85</v>
      </c>
      <c r="I15" s="72" t="s">
        <v>66</v>
      </c>
      <c r="J15" s="72">
        <v>45</v>
      </c>
      <c r="K15" s="71">
        <v>999</v>
      </c>
      <c r="L15" s="71">
        <v>44955</v>
      </c>
    </row>
    <row r="16" spans="1:12">
      <c r="A16" s="1"/>
      <c r="C16" s="72">
        <v>15</v>
      </c>
      <c r="D16" s="73">
        <v>45627</v>
      </c>
      <c r="E16" s="72" t="s">
        <v>101</v>
      </c>
      <c r="F16" s="72" t="s">
        <v>80</v>
      </c>
      <c r="G16" s="72" t="s">
        <v>81</v>
      </c>
      <c r="H16" s="72" t="s">
        <v>82</v>
      </c>
      <c r="I16" s="72" t="s">
        <v>48</v>
      </c>
      <c r="J16" s="72">
        <v>100</v>
      </c>
      <c r="K16" s="71">
        <v>899</v>
      </c>
      <c r="L16" s="71">
        <v>89900</v>
      </c>
    </row>
    <row r="17" spans="1:12">
      <c r="A17" s="1"/>
      <c r="C17" s="72">
        <v>16</v>
      </c>
      <c r="D17" s="73">
        <v>45631</v>
      </c>
      <c r="E17" s="72" t="s">
        <v>102</v>
      </c>
      <c r="F17" s="72" t="s">
        <v>56</v>
      </c>
      <c r="G17" s="72" t="s">
        <v>55</v>
      </c>
      <c r="H17" s="72" t="s">
        <v>57</v>
      </c>
      <c r="I17" s="72" t="s">
        <v>54</v>
      </c>
      <c r="J17" s="72">
        <v>30</v>
      </c>
      <c r="K17" s="71">
        <v>150</v>
      </c>
      <c r="L17" s="71">
        <v>4500</v>
      </c>
    </row>
    <row r="18" spans="1:12">
      <c r="A18" s="1"/>
      <c r="C18" s="72">
        <v>17</v>
      </c>
      <c r="D18" s="73">
        <v>45631</v>
      </c>
      <c r="E18" s="72" t="s">
        <v>103</v>
      </c>
      <c r="F18" s="72" t="s">
        <v>77</v>
      </c>
      <c r="G18" s="72" t="s">
        <v>78</v>
      </c>
      <c r="H18" s="72" t="s">
        <v>79</v>
      </c>
      <c r="I18" s="72" t="s">
        <v>66</v>
      </c>
      <c r="J18" s="72">
        <v>30</v>
      </c>
      <c r="K18" s="71">
        <v>1299</v>
      </c>
      <c r="L18" s="71">
        <v>38970</v>
      </c>
    </row>
    <row r="19" spans="1:12">
      <c r="A19" s="1"/>
    </row>
    <row r="20" spans="1:12">
      <c r="A20" s="1"/>
    </row>
    <row r="21" spans="1:12">
      <c r="A21" s="1"/>
    </row>
    <row r="22" spans="1:12">
      <c r="A22" s="1"/>
    </row>
    <row r="23" spans="1:12">
      <c r="A23" s="1"/>
    </row>
    <row r="24" spans="1:12">
      <c r="A24" s="1"/>
    </row>
    <row r="25" spans="1:12">
      <c r="A25" s="1"/>
    </row>
    <row r="26" spans="1:12">
      <c r="A26" s="1"/>
    </row>
    <row r="27" spans="1:12">
      <c r="A27" s="1"/>
    </row>
    <row r="28" spans="1:12">
      <c r="A28" s="1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</vt:i4>
      </vt:variant>
    </vt:vector>
  </HeadingPairs>
  <TitlesOfParts>
    <vt:vector size="18" baseType="lpstr">
      <vt:lpstr>Dashboard</vt:lpstr>
      <vt:lpstr>Calculation</vt:lpstr>
      <vt:lpstr>EnterNewProduct</vt:lpstr>
      <vt:lpstr>PurchaseEntry</vt:lpstr>
      <vt:lpstr>SalesEntry</vt:lpstr>
      <vt:lpstr>Inventory</vt:lpstr>
      <vt:lpstr>Purchase</vt:lpstr>
      <vt:lpstr>Sales</vt:lpstr>
      <vt:lpstr>Category</vt:lpstr>
      <vt:lpstr>Customer</vt:lpstr>
      <vt:lpstr>Date</vt:lpstr>
      <vt:lpstr>Description</vt:lpstr>
      <vt:lpstr>ProductID</vt:lpstr>
      <vt:lpstr>ProductName</vt:lpstr>
      <vt:lpstr>QuantitySold</vt:lpstr>
      <vt:lpstr>SellingPrice</vt:lpstr>
      <vt:lpstr>SrNumber</vt:lpstr>
      <vt:lpstr>TotalAmount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Pallu V K</dc:creator>
  <cp:lastModifiedBy>Pallu V K</cp:lastModifiedBy>
  <dcterms:created xsi:type="dcterms:W3CDTF">2024-11-07T14:15:07Z</dcterms:created>
  <dcterms:modified xsi:type="dcterms:W3CDTF">2024-12-19T07:19:24Z</dcterms:modified>
</cp:coreProperties>
</file>